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mc:AlternateContent xmlns:mc="http://schemas.openxmlformats.org/markup-compatibility/2006">
    <mc:Choice Requires="x15">
      <x15ac:absPath xmlns:x15ac="http://schemas.microsoft.com/office/spreadsheetml/2010/11/ac" url="D:\desktop\FMVA\800_VBA for financial\Exercises\"/>
    </mc:Choice>
  </mc:AlternateContent>
  <xr:revisionPtr revIDLastSave="0" documentId="13_ncr:1_{3CB219A8-8E14-4C2F-B223-6B96EC1089E3}" xr6:coauthVersionLast="36" xr6:coauthVersionMax="46" xr10:uidLastSave="{00000000-0000-0000-0000-000000000000}"/>
  <bookViews>
    <workbookView xWindow="9180" yWindow="-21720" windowWidth="4900" windowHeight="21240" activeTab="3" xr2:uid="{CEB6F358-CAF5-47DD-A011-4C233B92A43A}"/>
  </bookViews>
  <sheets>
    <sheet name="Header" sheetId="5" r:id="rId1"/>
    <sheet name="Task" sheetId="15" r:id="rId2"/>
    <sheet name="Inputs" sheetId="13" state="veryHidden" r:id="rId3"/>
    <sheet name="Settings" sheetId="14" r:id="rId4"/>
    <sheet name="AAA" sheetId="16" r:id="rId5"/>
    <sheet name="AAB" sheetId="17" r:id="rId6"/>
    <sheet name="ABC" sheetId="18" r:id="rId7"/>
    <sheet name="ABD" sheetId="19" r:id="rId8"/>
    <sheet name="BBB" sheetId="20" r:id="rId9"/>
    <sheet name="FFX" sheetId="21" r:id="rId10"/>
    <sheet name="HHF" sheetId="22" r:id="rId11"/>
    <sheet name="PPD" sheetId="23" r:id="rId12"/>
  </sheets>
  <externalReferences>
    <externalReference r:id="rId13"/>
  </externalReferences>
  <definedNames>
    <definedName name="CIQWBGuid" hidden="1">"3a76856e-063b-4329-b2c5-ae285df6792b"</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41887.7188541667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SaveFilePath">Settings!$C$4</definedName>
    <definedName name="SelectedReportingYear">[1]Settings!$C$2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6" i="23" l="1"/>
  <c r="D45" i="23"/>
  <c r="D44" i="23"/>
  <c r="D43" i="23"/>
  <c r="C43" i="23"/>
  <c r="D42" i="23"/>
  <c r="D46" i="23" s="1"/>
  <c r="D39" i="23"/>
  <c r="B39" i="23"/>
  <c r="C38" i="23" s="1"/>
  <c r="D38" i="23"/>
  <c r="D37" i="23"/>
  <c r="D36" i="23"/>
  <c r="C36" i="23"/>
  <c r="C37" i="23" s="1"/>
  <c r="D35" i="23"/>
  <c r="B32" i="23"/>
  <c r="D31" i="23"/>
  <c r="D32" i="23" s="1"/>
  <c r="D30" i="23"/>
  <c r="D29" i="23"/>
  <c r="C29" i="23"/>
  <c r="C30" i="23" s="1"/>
  <c r="D28" i="23"/>
  <c r="D12" i="23"/>
  <c r="E12" i="23" s="1"/>
  <c r="F12" i="23" s="1"/>
  <c r="G12" i="23" s="1"/>
  <c r="H12" i="23" s="1"/>
  <c r="H11" i="23"/>
  <c r="G11" i="23"/>
  <c r="F11" i="23"/>
  <c r="E11" i="23"/>
  <c r="D11" i="23"/>
  <c r="B46" i="22"/>
  <c r="D45" i="22"/>
  <c r="D44" i="22"/>
  <c r="C44" i="22"/>
  <c r="C45" i="22" s="1"/>
  <c r="D43" i="22"/>
  <c r="D46" i="22" s="1"/>
  <c r="C43" i="22"/>
  <c r="C46" i="22" s="1"/>
  <c r="D42" i="22"/>
  <c r="B39" i="22"/>
  <c r="D38" i="22"/>
  <c r="D37" i="22"/>
  <c r="D36" i="22"/>
  <c r="C36" i="22"/>
  <c r="D35" i="22"/>
  <c r="D39" i="22" s="1"/>
  <c r="B32" i="22"/>
  <c r="D31" i="22"/>
  <c r="D30" i="22"/>
  <c r="D29" i="22"/>
  <c r="C29" i="22"/>
  <c r="D28" i="22"/>
  <c r="D32" i="22" s="1"/>
  <c r="H11" i="22"/>
  <c r="G11" i="22"/>
  <c r="F11" i="22"/>
  <c r="E11" i="22"/>
  <c r="D11" i="22"/>
  <c r="D12" i="22" s="1"/>
  <c r="E12" i="22" s="1"/>
  <c r="F12" i="22" s="1"/>
  <c r="G12" i="22" s="1"/>
  <c r="H12" i="22" s="1"/>
  <c r="B46" i="21"/>
  <c r="D45" i="21"/>
  <c r="D46" i="21" s="1"/>
  <c r="D44" i="21"/>
  <c r="D43" i="21"/>
  <c r="C43" i="21"/>
  <c r="C44" i="21" s="1"/>
  <c r="D42" i="21"/>
  <c r="B39" i="21"/>
  <c r="D38" i="21"/>
  <c r="D37" i="21"/>
  <c r="D39" i="21" s="1"/>
  <c r="D36" i="21"/>
  <c r="C36" i="21"/>
  <c r="C37" i="21" s="1"/>
  <c r="D35" i="21"/>
  <c r="B32" i="21"/>
  <c r="D31" i="21"/>
  <c r="D30" i="21"/>
  <c r="C30" i="21"/>
  <c r="C31" i="21" s="1"/>
  <c r="D29" i="21"/>
  <c r="D32" i="21" s="1"/>
  <c r="C29" i="21"/>
  <c r="C32" i="21" s="1"/>
  <c r="D28" i="21"/>
  <c r="H11" i="21"/>
  <c r="G11" i="21"/>
  <c r="F11" i="21"/>
  <c r="E11" i="21"/>
  <c r="D11" i="21"/>
  <c r="D12" i="21" s="1"/>
  <c r="E12" i="21" s="1"/>
  <c r="F12" i="21" s="1"/>
  <c r="G12" i="21" s="1"/>
  <c r="H12" i="21" s="1"/>
  <c r="B46" i="20"/>
  <c r="D45" i="20"/>
  <c r="D44" i="20"/>
  <c r="D43" i="20"/>
  <c r="C43" i="20"/>
  <c r="D42" i="20"/>
  <c r="D46" i="20" s="1"/>
  <c r="D39" i="20"/>
  <c r="B39" i="20"/>
  <c r="C38" i="20" s="1"/>
  <c r="C39" i="20" s="1"/>
  <c r="D38" i="20"/>
  <c r="D37" i="20"/>
  <c r="C37" i="20"/>
  <c r="D36" i="20"/>
  <c r="C36" i="20"/>
  <c r="D35" i="20"/>
  <c r="B32" i="20"/>
  <c r="D31" i="20"/>
  <c r="D32" i="20" s="1"/>
  <c r="D30" i="20"/>
  <c r="D29" i="20"/>
  <c r="C29" i="20"/>
  <c r="C30" i="20" s="1"/>
  <c r="D28" i="20"/>
  <c r="D12" i="20"/>
  <c r="E12" i="20" s="1"/>
  <c r="F12" i="20" s="1"/>
  <c r="G12" i="20" s="1"/>
  <c r="H12" i="20" s="1"/>
  <c r="H11" i="20"/>
  <c r="G11" i="20"/>
  <c r="F11" i="20"/>
  <c r="E11" i="20"/>
  <c r="D11" i="20"/>
  <c r="B46" i="19"/>
  <c r="D45" i="19"/>
  <c r="D44" i="19"/>
  <c r="C44" i="19"/>
  <c r="C45" i="19" s="1"/>
  <c r="D43" i="19"/>
  <c r="D46" i="19" s="1"/>
  <c r="C43" i="19"/>
  <c r="C46" i="19" s="1"/>
  <c r="D42" i="19"/>
  <c r="B39" i="19"/>
  <c r="D38" i="19"/>
  <c r="D37" i="19"/>
  <c r="D36" i="19"/>
  <c r="C36" i="19"/>
  <c r="D35" i="19"/>
  <c r="D39" i="19" s="1"/>
  <c r="B32" i="19"/>
  <c r="D31" i="19"/>
  <c r="D30" i="19"/>
  <c r="D29" i="19"/>
  <c r="C29" i="19"/>
  <c r="D28" i="19"/>
  <c r="D32" i="19" s="1"/>
  <c r="H11" i="19"/>
  <c r="G11" i="19"/>
  <c r="F11" i="19"/>
  <c r="E11" i="19"/>
  <c r="D11" i="19"/>
  <c r="D12" i="19" s="1"/>
  <c r="E12" i="19" s="1"/>
  <c r="F12" i="19" s="1"/>
  <c r="G12" i="19" s="1"/>
  <c r="H12" i="19" s="1"/>
  <c r="B46" i="18"/>
  <c r="D45" i="18"/>
  <c r="D46" i="18" s="1"/>
  <c r="D44" i="18"/>
  <c r="D43" i="18"/>
  <c r="C43" i="18"/>
  <c r="C44" i="18" s="1"/>
  <c r="D42" i="18"/>
  <c r="B39" i="18"/>
  <c r="D38" i="18"/>
  <c r="D37" i="18"/>
  <c r="D36" i="18"/>
  <c r="C36" i="18"/>
  <c r="C37" i="18" s="1"/>
  <c r="D35" i="18"/>
  <c r="D39" i="18" s="1"/>
  <c r="B32" i="18"/>
  <c r="D31" i="18"/>
  <c r="D30" i="18"/>
  <c r="C30" i="18"/>
  <c r="C31" i="18" s="1"/>
  <c r="D29" i="18"/>
  <c r="D32" i="18" s="1"/>
  <c r="C29" i="18"/>
  <c r="C32" i="18" s="1"/>
  <c r="D28" i="18"/>
  <c r="H11" i="18"/>
  <c r="G11" i="18"/>
  <c r="F11" i="18"/>
  <c r="E11" i="18"/>
  <c r="D11" i="18"/>
  <c r="D12" i="18" s="1"/>
  <c r="E12" i="18" s="1"/>
  <c r="F12" i="18" s="1"/>
  <c r="G12" i="18" s="1"/>
  <c r="H12" i="18" s="1"/>
  <c r="B46" i="17"/>
  <c r="D45" i="17"/>
  <c r="D44" i="17"/>
  <c r="D43" i="17"/>
  <c r="C43" i="17"/>
  <c r="D42" i="17"/>
  <c r="D46" i="17" s="1"/>
  <c r="D39" i="17"/>
  <c r="B39" i="17"/>
  <c r="D38" i="17"/>
  <c r="D37" i="17"/>
  <c r="D36" i="17"/>
  <c r="C36" i="17"/>
  <c r="C37" i="17" s="1"/>
  <c r="C38" i="17" s="1"/>
  <c r="D35" i="17"/>
  <c r="D32" i="17"/>
  <c r="B32" i="17"/>
  <c r="D31" i="17"/>
  <c r="D30" i="17"/>
  <c r="D29" i="17"/>
  <c r="C29" i="17"/>
  <c r="C30" i="17" s="1"/>
  <c r="D28" i="17"/>
  <c r="D12" i="17"/>
  <c r="E12" i="17" s="1"/>
  <c r="F12" i="17" s="1"/>
  <c r="G12" i="17" s="1"/>
  <c r="H12" i="17" s="1"/>
  <c r="H11" i="17"/>
  <c r="G11" i="17"/>
  <c r="F11" i="17"/>
  <c r="E11" i="17"/>
  <c r="D11" i="17"/>
  <c r="B46" i="16"/>
  <c r="C45" i="16" s="1"/>
  <c r="D45" i="16"/>
  <c r="D44" i="16"/>
  <c r="C44" i="16"/>
  <c r="D43" i="16"/>
  <c r="C43" i="16"/>
  <c r="C46" i="16" s="1"/>
  <c r="D42" i="16"/>
  <c r="D46" i="16" s="1"/>
  <c r="B39" i="16"/>
  <c r="D38" i="16"/>
  <c r="D37" i="16"/>
  <c r="D36" i="16"/>
  <c r="C36" i="16"/>
  <c r="D35" i="16"/>
  <c r="D39" i="16" s="1"/>
  <c r="B32" i="16"/>
  <c r="D31" i="16"/>
  <c r="D30" i="16"/>
  <c r="D29" i="16"/>
  <c r="C29" i="16"/>
  <c r="D28" i="16"/>
  <c r="D32" i="16" s="1"/>
  <c r="H11" i="16"/>
  <c r="G11" i="16"/>
  <c r="F11" i="16"/>
  <c r="E11" i="16"/>
  <c r="D11" i="16"/>
  <c r="D12" i="16" s="1"/>
  <c r="E12" i="16" s="1"/>
  <c r="F12" i="16" s="1"/>
  <c r="G12" i="16" s="1"/>
  <c r="H12" i="16" s="1"/>
  <c r="C38" i="21" l="1"/>
  <c r="C39" i="21" s="1"/>
  <c r="C39" i="23"/>
  <c r="C31" i="17"/>
  <c r="C32" i="17" s="1"/>
  <c r="C45" i="18"/>
  <c r="C46" i="18" s="1"/>
  <c r="C31" i="20"/>
  <c r="C32" i="20" s="1"/>
  <c r="C38" i="18"/>
  <c r="C39" i="18"/>
  <c r="C45" i="21"/>
  <c r="C46" i="21" s="1"/>
  <c r="C31" i="23"/>
  <c r="C32" i="23" s="1"/>
  <c r="C39" i="17"/>
  <c r="C37" i="16"/>
  <c r="C39" i="16" s="1"/>
  <c r="C37" i="19"/>
  <c r="C38" i="19" s="1"/>
  <c r="C37" i="22"/>
  <c r="C38" i="22" s="1"/>
  <c r="C39" i="22" s="1"/>
  <c r="C30" i="16"/>
  <c r="C31" i="16" s="1"/>
  <c r="C38" i="16"/>
  <c r="C44" i="17"/>
  <c r="C45" i="17" s="1"/>
  <c r="C30" i="19"/>
  <c r="C31" i="19" s="1"/>
  <c r="C44" i="20"/>
  <c r="C45" i="20" s="1"/>
  <c r="C30" i="22"/>
  <c r="C44" i="23"/>
  <c r="C46" i="23" s="1"/>
  <c r="C31" i="22"/>
  <c r="C32" i="22" s="1"/>
  <c r="C45" i="23"/>
  <c r="C46" i="17" l="1"/>
  <c r="C46" i="20"/>
  <c r="C39" i="19"/>
  <c r="C32" i="19"/>
  <c r="C32" i="16"/>
</calcChain>
</file>

<file path=xl/sharedStrings.xml><?xml version="1.0" encoding="utf-8"?>
<sst xmlns="http://schemas.openxmlformats.org/spreadsheetml/2006/main" count="392" uniqueCount="78">
  <si>
    <t>Notes</t>
  </si>
  <si>
    <t>All content is Copyright material of CFI Education Inc.</t>
  </si>
  <si>
    <t>https://corporatefinanceinstitute.com/</t>
  </si>
  <si>
    <t>© 2019 CFI Education Inc.</t>
  </si>
  <si>
    <t>All rights reserved.  The contents of this publication, including but not limited to all written material, content layout, images, formulas, and code, are protected under international copyright and trademark laws. No part of this publication may be modified, manipulated, reproduced, distributed, or transmitted in any form by any means, including photocopying, recording, or other electronic or mechanical methods, without prior written permission of the publisher, except in the case of certain noncommercial uses permitted by copyright law.</t>
  </si>
  <si>
    <t>This Excel VBA model is for educational purposes only and should not be used for any other reason.</t>
  </si>
  <si>
    <t>Contents</t>
  </si>
  <si>
    <t>VBA Fundamentals - Errors and Exceptions Exercises</t>
  </si>
  <si>
    <t>The contents of this workbook will be used to give students an opportunity to practice debugging errors in VBA.</t>
  </si>
  <si>
    <t>© Corporate Finance Institute. All rights reserved.</t>
  </si>
  <si>
    <t>VBA Errors and Exceptions Input Sheet</t>
  </si>
  <si>
    <t>Inputs</t>
  </si>
  <si>
    <t>Input 1</t>
  </si>
  <si>
    <t>Input 2</t>
  </si>
  <si>
    <t>Input 3</t>
  </si>
  <si>
    <t>XXX</t>
  </si>
  <si>
    <t>Demo Regional Report</t>
  </si>
  <si>
    <t>Backup Settings</t>
  </si>
  <si>
    <t>Filepath</t>
  </si>
  <si>
    <t>Archive File</t>
  </si>
  <si>
    <t>Student Exercise</t>
  </si>
  <si>
    <t>Task 1:</t>
  </si>
  <si>
    <t>In this file are 8 reports sheets that relate to different segments of a business. They need to be sorted alphabetically before we publish the report.</t>
  </si>
  <si>
    <t>There is a subroutine in the VBA module that can be used to sort SELECTED sheets alphabetically</t>
  </si>
  <si>
    <r>
      <t xml:space="preserve">1. Select all the </t>
    </r>
    <r>
      <rPr>
        <sz val="11"/>
        <color theme="3"/>
        <rFont val="Arial"/>
        <family val="2"/>
        <scheme val="minor"/>
      </rPr>
      <t>BLUE report sheets</t>
    </r>
  </si>
  <si>
    <t>2. Try to run the sorting routine</t>
  </si>
  <si>
    <t>3. Introduce breakpoints to try and track down the error</t>
  </si>
  <si>
    <t>4. Fix the sub so that the sheets are sorted correctly</t>
  </si>
  <si>
    <t>Task 2:</t>
  </si>
  <si>
    <t>The VBA module also contains a sub that creates an archive copy of this file, and saves it in a defined location.</t>
  </si>
  <si>
    <t>The save location can be found in the settings tab.</t>
  </si>
  <si>
    <t>1. Update the save location to match your own archive folder</t>
  </si>
  <si>
    <t>2. Press the archive button. The messages tell us that the routine failed.</t>
  </si>
  <si>
    <t>3. Check the archive folder to check that this is correct.</t>
  </si>
  <si>
    <t>5. Find and fix the problem preventing the file from being saved.</t>
  </si>
  <si>
    <t>4. Use a debug.print statement to print the filename just before the file is saved.</t>
  </si>
  <si>
    <t>Error 1</t>
  </si>
  <si>
    <t>Error 2</t>
  </si>
  <si>
    <t>1. Check the archive location. It looks like the file archive now works, but the message keeps telling us it failed.</t>
  </si>
  <si>
    <t>2. Add a breakpoint to the If statement that checks for success.</t>
  </si>
  <si>
    <t>3. Use the locals window to check if Success is being captured correctly.</t>
  </si>
  <si>
    <t>4. Locate and fix the error.</t>
  </si>
  <si>
    <t>5. Test the solution one last time.</t>
  </si>
  <si>
    <t>6. Add a line of code to the failed scenario. "Exit Sub" after the failure message is given.</t>
  </si>
  <si>
    <t>Raw Data AAA</t>
  </si>
  <si>
    <t>Cash from Operations</t>
  </si>
  <si>
    <t>Cash from Investing</t>
  </si>
  <si>
    <t>Cash from Financing</t>
  </si>
  <si>
    <t>Net Change in Cash</t>
  </si>
  <si>
    <t>Cash Balance</t>
  </si>
  <si>
    <t>2018 Net Earnings Waterfall</t>
  </si>
  <si>
    <t>Reveneue</t>
  </si>
  <si>
    <t>COGS</t>
  </si>
  <si>
    <t>Gross Profit</t>
  </si>
  <si>
    <t>Salaries &amp; Benefits</t>
  </si>
  <si>
    <t>Rent &amp; Overhead</t>
  </si>
  <si>
    <t>Depre. &amp; Amort.</t>
  </si>
  <si>
    <t>Interest</t>
  </si>
  <si>
    <t>Taxes</t>
  </si>
  <si>
    <t>Net Earnings</t>
  </si>
  <si>
    <t>2018 Productivity Rate</t>
  </si>
  <si>
    <t>Bus 1</t>
  </si>
  <si>
    <t>Levels</t>
  </si>
  <si>
    <t>Actual</t>
  </si>
  <si>
    <t>Level 1</t>
  </si>
  <si>
    <t>Level 2</t>
  </si>
  <si>
    <t>Level 3</t>
  </si>
  <si>
    <t>Total</t>
  </si>
  <si>
    <t>Bus 2</t>
  </si>
  <si>
    <t>Bus 3</t>
  </si>
  <si>
    <t>Raw Data AAB</t>
  </si>
  <si>
    <t>Raw Data ABC</t>
  </si>
  <si>
    <t>Raw Data ABD</t>
  </si>
  <si>
    <t>Raw Data BBB</t>
  </si>
  <si>
    <t>Raw Data FFX</t>
  </si>
  <si>
    <t>Raw Data HHF</t>
  </si>
  <si>
    <t>Raw Data PPD</t>
  </si>
  <si>
    <t>D:\desktop\FMVA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</si>
</sst>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s>
  <fonts count="27">
    <font>
      <sz val="11"/>
      <color theme="1"/>
      <name val="Arial"/>
      <family val="2"/>
      <scheme val="minor"/>
    </font>
    <font>
      <sz val="11"/>
      <color theme="1"/>
      <name val="Arial"/>
      <family val="2"/>
      <scheme val="minor"/>
    </font>
    <font>
      <b/>
      <sz val="11"/>
      <color theme="3"/>
      <name val="Arial"/>
      <family val="2"/>
      <scheme val="minor"/>
    </font>
    <font>
      <u/>
      <sz val="10"/>
      <color theme="10"/>
      <name val="Arial"/>
      <family val="2"/>
    </font>
    <font>
      <sz val="11"/>
      <color theme="1"/>
      <name val="Calabri"/>
    </font>
    <font>
      <b/>
      <sz val="22"/>
      <color theme="1"/>
      <name val="Calabri"/>
    </font>
    <font>
      <b/>
      <sz val="11"/>
      <color theme="1"/>
      <name val="Calabri"/>
    </font>
    <font>
      <b/>
      <sz val="15"/>
      <color theme="1"/>
      <name val="Calabri"/>
    </font>
    <font>
      <sz val="12"/>
      <color theme="1"/>
      <name val="Calabri"/>
    </font>
    <font>
      <u/>
      <sz val="12"/>
      <color theme="1"/>
      <name val="Calabri"/>
    </font>
    <font>
      <sz val="11"/>
      <color theme="0"/>
      <name val="Calabri"/>
    </font>
    <font>
      <sz val="12"/>
      <color theme="0"/>
      <name val="Calabri"/>
    </font>
    <font>
      <sz val="8"/>
      <color theme="0"/>
      <name val="Arial Narrow"/>
      <family val="2"/>
    </font>
    <font>
      <sz val="11"/>
      <color theme="0"/>
      <name val="Arial Narrow"/>
      <family val="2"/>
    </font>
    <font>
      <sz val="11"/>
      <color theme="1"/>
      <name val="Arial Narrow"/>
      <family val="2"/>
    </font>
    <font>
      <b/>
      <sz val="14"/>
      <color rgb="FFFFFFFF"/>
      <name val="Arial Narrow"/>
      <family val="2"/>
    </font>
    <font>
      <b/>
      <sz val="11"/>
      <color rgb="FFFFFFFF"/>
      <name val="Arial Narrow"/>
      <family val="2"/>
    </font>
    <font>
      <sz val="11"/>
      <color rgb="FFFFFFFF"/>
      <name val="Arial Narrow"/>
      <family val="2"/>
    </font>
    <font>
      <b/>
      <sz val="12"/>
      <color theme="0"/>
      <name val="Arial Narrow"/>
      <family val="2"/>
    </font>
    <font>
      <sz val="12"/>
      <color theme="0"/>
      <name val="Arial Narrow"/>
      <family val="2"/>
    </font>
    <font>
      <sz val="11"/>
      <color theme="3"/>
      <name val="Arial"/>
      <family val="2"/>
      <scheme val="minor"/>
    </font>
    <font>
      <b/>
      <sz val="11"/>
      <color theme="0"/>
      <name val="Open Sans"/>
      <family val="2"/>
    </font>
    <font>
      <sz val="11"/>
      <color theme="1"/>
      <name val="Open Sans"/>
      <family val="2"/>
    </font>
    <font>
      <b/>
      <sz val="11"/>
      <color theme="1"/>
      <name val="Open Sans"/>
      <family val="2"/>
    </font>
    <font>
      <sz val="11"/>
      <color rgb="FF0000FF"/>
      <name val="Open Sans"/>
      <family val="2"/>
    </font>
    <font>
      <sz val="11"/>
      <name val="Open Sans"/>
      <family val="2"/>
    </font>
    <font>
      <b/>
      <sz val="11"/>
      <name val="Open Sans"/>
      <family val="2"/>
    </font>
  </fonts>
  <fills count="9">
    <fill>
      <patternFill patternType="none"/>
    </fill>
    <fill>
      <patternFill patternType="gray125"/>
    </fill>
    <fill>
      <patternFill patternType="solid">
        <fgColor rgb="FF132E57"/>
        <bgColor indexed="64"/>
      </patternFill>
    </fill>
    <fill>
      <patternFill patternType="solid">
        <fgColor theme="0"/>
        <bgColor indexed="64"/>
      </patternFill>
    </fill>
    <fill>
      <patternFill patternType="solid">
        <fgColor rgb="FF255BAC"/>
        <bgColor indexed="64"/>
      </patternFill>
    </fill>
    <fill>
      <patternFill patternType="solid">
        <fgColor theme="3"/>
        <bgColor indexed="64"/>
      </patternFill>
    </fill>
    <fill>
      <patternFill patternType="solid">
        <fgColor theme="1" tint="0.34998626667073579"/>
        <bgColor indexed="64"/>
      </patternFill>
    </fill>
    <fill>
      <patternFill patternType="solid">
        <fgColor theme="2"/>
        <bgColor indexed="64"/>
      </patternFill>
    </fill>
    <fill>
      <patternFill patternType="solid">
        <fgColor theme="1" tint="0.39997558519241921"/>
        <bgColor indexed="64"/>
      </patternFill>
    </fill>
  </fills>
  <borders count="3">
    <border>
      <left/>
      <right/>
      <top/>
      <bottom/>
      <diagonal/>
    </border>
    <border>
      <left/>
      <right/>
      <top style="thin">
        <color auto="1"/>
      </top>
      <bottom/>
      <diagonal/>
    </border>
    <border>
      <left/>
      <right/>
      <top/>
      <bottom style="thin">
        <color indexed="64"/>
      </bottom>
      <diagonal/>
    </border>
  </borders>
  <cellStyleXfs count="6">
    <xf numFmtId="0" fontId="0" fillId="0" borderId="0"/>
    <xf numFmtId="0" fontId="1" fillId="0" borderId="0"/>
    <xf numFmtId="0" fontId="3"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71">
    <xf numFmtId="0" fontId="0" fillId="0" borderId="0" xfId="0"/>
    <xf numFmtId="0" fontId="2" fillId="0" borderId="0" xfId="0" applyFont="1"/>
    <xf numFmtId="0" fontId="4" fillId="3" borderId="0" xfId="0" applyFont="1" applyFill="1"/>
    <xf numFmtId="0" fontId="4" fillId="4" borderId="0" xfId="0" applyFont="1" applyFill="1"/>
    <xf numFmtId="0" fontId="5" fillId="3" borderId="0" xfId="0" applyFont="1" applyFill="1"/>
    <xf numFmtId="0" fontId="6" fillId="0" borderId="0" xfId="1" applyFont="1" applyAlignment="1">
      <alignment horizontal="right"/>
    </xf>
    <xf numFmtId="0" fontId="7" fillId="0" borderId="2" xfId="1" applyFont="1" applyBorder="1" applyProtection="1">
      <protection locked="0"/>
    </xf>
    <xf numFmtId="0" fontId="4" fillId="3" borderId="2" xfId="0" applyFont="1" applyFill="1" applyBorder="1"/>
    <xf numFmtId="0" fontId="8" fillId="3" borderId="0" xfId="0" applyFont="1" applyFill="1"/>
    <xf numFmtId="0" fontId="8" fillId="0" borderId="0" xfId="1" applyFont="1"/>
    <xf numFmtId="0" fontId="8" fillId="0" borderId="1" xfId="1" applyFont="1" applyBorder="1"/>
    <xf numFmtId="0" fontId="9" fillId="0" borderId="0" xfId="2" applyFont="1" applyFill="1" applyBorder="1"/>
    <xf numFmtId="0" fontId="10" fillId="2" borderId="0" xfId="1" applyFont="1" applyFill="1"/>
    <xf numFmtId="0" fontId="4" fillId="2" borderId="0" xfId="1" applyFont="1" applyFill="1"/>
    <xf numFmtId="0" fontId="4" fillId="2" borderId="0" xfId="0" applyFont="1" applyFill="1"/>
    <xf numFmtId="37" fontId="12" fillId="2" borderId="0" xfId="1" applyNumberFormat="1" applyFont="1" applyFill="1" applyAlignment="1">
      <alignment vertical="top"/>
    </xf>
    <xf numFmtId="37" fontId="13" fillId="2" borderId="0" xfId="1" applyNumberFormat="1" applyFont="1" applyFill="1" applyAlignment="1">
      <alignment vertical="top"/>
    </xf>
    <xf numFmtId="37" fontId="13" fillId="2" borderId="0" xfId="1" applyNumberFormat="1" applyFont="1" applyFill="1" applyAlignment="1">
      <alignment horizontal="right" vertical="top"/>
    </xf>
    <xf numFmtId="0" fontId="14" fillId="0" borderId="0" xfId="1" applyFont="1"/>
    <xf numFmtId="0" fontId="15" fillId="2" borderId="0" xfId="1" applyFont="1" applyFill="1" applyAlignment="1">
      <alignment horizontal="left" vertical="center" readingOrder="1"/>
    </xf>
    <xf numFmtId="0" fontId="16" fillId="2" borderId="0" xfId="1" applyFont="1" applyFill="1" applyAlignment="1">
      <alignment horizontal="left" vertical="center" readingOrder="1"/>
    </xf>
    <xf numFmtId="0" fontId="17" fillId="2" borderId="0" xfId="1" applyFont="1" applyFill="1" applyAlignment="1">
      <alignment horizontal="left" vertical="center" readingOrder="1"/>
    </xf>
    <xf numFmtId="0" fontId="16" fillId="2" borderId="0" xfId="1" applyFont="1" applyFill="1" applyAlignment="1">
      <alignment horizontal="right" vertical="center" readingOrder="1"/>
    </xf>
    <xf numFmtId="0" fontId="0" fillId="0" borderId="0" xfId="0" applyAlignment="1">
      <alignment horizontal="right"/>
    </xf>
    <xf numFmtId="0" fontId="18" fillId="5" borderId="0" xfId="1" applyFont="1" applyFill="1"/>
    <xf numFmtId="0" fontId="19" fillId="5" borderId="0" xfId="1" applyFont="1" applyFill="1"/>
    <xf numFmtId="0" fontId="18" fillId="5" borderId="0" xfId="1" applyFont="1" applyFill="1" applyAlignment="1">
      <alignment horizontal="right"/>
    </xf>
    <xf numFmtId="0" fontId="20" fillId="0" borderId="0" xfId="0" applyFont="1"/>
    <xf numFmtId="0" fontId="21" fillId="6" borderId="0" xfId="0" applyFont="1" applyFill="1" applyAlignment="1">
      <alignment horizontal="left"/>
    </xf>
    <xf numFmtId="0" fontId="21" fillId="6" borderId="0" xfId="0" applyFont="1" applyFill="1" applyAlignment="1">
      <alignment horizontal="centerContinuous"/>
    </xf>
    <xf numFmtId="0" fontId="22" fillId="0" borderId="0" xfId="0" applyFont="1"/>
    <xf numFmtId="0" fontId="22" fillId="0" borderId="0" xfId="0" applyFont="1" applyAlignment="1">
      <alignment horizontal="centerContinuous"/>
    </xf>
    <xf numFmtId="0" fontId="23" fillId="0" borderId="0" xfId="0" applyFont="1" applyAlignment="1">
      <alignment horizontal="right"/>
    </xf>
    <xf numFmtId="164" fontId="24" fillId="0" borderId="1" xfId="4" applyNumberFormat="1" applyFont="1" applyFill="1" applyBorder="1"/>
    <xf numFmtId="165" fontId="24" fillId="0" borderId="0" xfId="5" applyNumberFormat="1" applyFont="1" applyFill="1" applyBorder="1"/>
    <xf numFmtId="165" fontId="24" fillId="0" borderId="0" xfId="5" applyNumberFormat="1" applyFont="1" applyFill="1"/>
    <xf numFmtId="165" fontId="22" fillId="0" borderId="0" xfId="0" applyNumberFormat="1" applyFont="1"/>
    <xf numFmtId="44" fontId="22" fillId="0" borderId="0" xfId="5" applyFont="1"/>
    <xf numFmtId="165" fontId="25" fillId="0" borderId="0" xfId="5" applyNumberFormat="1" applyFont="1" applyFill="1"/>
    <xf numFmtId="0" fontId="23" fillId="0" borderId="0" xfId="0" applyFont="1"/>
    <xf numFmtId="0" fontId="23" fillId="0" borderId="0" xfId="0" applyFont="1" applyAlignment="1">
      <alignment horizontal="left"/>
    </xf>
    <xf numFmtId="164" fontId="22" fillId="0" borderId="0" xfId="4" applyNumberFormat="1" applyFont="1"/>
    <xf numFmtId="165" fontId="24" fillId="0" borderId="0" xfId="5" applyNumberFormat="1" applyFont="1"/>
    <xf numFmtId="164" fontId="22" fillId="0" borderId="0" xfId="0" applyNumberFormat="1" applyFont="1"/>
    <xf numFmtId="0" fontId="22" fillId="0" borderId="0" xfId="0" applyFont="1" applyAlignment="1">
      <alignment horizontal="left"/>
    </xf>
    <xf numFmtId="0" fontId="25" fillId="0" borderId="0" xfId="0" applyFont="1"/>
    <xf numFmtId="0" fontId="22" fillId="0" borderId="2" xfId="0" applyFont="1" applyBorder="1" applyAlignment="1">
      <alignment horizontal="center"/>
    </xf>
    <xf numFmtId="166" fontId="22" fillId="0" borderId="0" xfId="3" applyNumberFormat="1" applyFont="1"/>
    <xf numFmtId="166" fontId="24" fillId="0" borderId="0" xfId="3" applyNumberFormat="1" applyFont="1"/>
    <xf numFmtId="166" fontId="24" fillId="0" borderId="2" xfId="3" applyNumberFormat="1" applyFont="1" applyBorder="1"/>
    <xf numFmtId="166" fontId="22" fillId="0" borderId="2" xfId="3" applyNumberFormat="1" applyFont="1" applyBorder="1"/>
    <xf numFmtId="37" fontId="12" fillId="7" borderId="0" xfId="1" applyNumberFormat="1" applyFont="1" applyFill="1" applyAlignment="1">
      <alignment vertical="top"/>
    </xf>
    <xf numFmtId="37" fontId="13" fillId="7" borderId="0" xfId="1" applyNumberFormat="1" applyFont="1" applyFill="1" applyAlignment="1">
      <alignment vertical="top"/>
    </xf>
    <xf numFmtId="37" fontId="13" fillId="7" borderId="0" xfId="1" applyNumberFormat="1" applyFont="1" applyFill="1" applyAlignment="1">
      <alignment horizontal="right" vertical="top"/>
    </xf>
    <xf numFmtId="0" fontId="15" fillId="7" borderId="0" xfId="1" applyFont="1" applyFill="1" applyAlignment="1">
      <alignment horizontal="left" vertical="center" readingOrder="1"/>
    </xf>
    <xf numFmtId="0" fontId="16" fillId="7" borderId="0" xfId="1" applyFont="1" applyFill="1" applyAlignment="1">
      <alignment horizontal="left" vertical="center" readingOrder="1"/>
    </xf>
    <xf numFmtId="0" fontId="17" fillId="7" borderId="0" xfId="1" applyFont="1" applyFill="1" applyAlignment="1">
      <alignment horizontal="left" vertical="center" readingOrder="1"/>
    </xf>
    <xf numFmtId="0" fontId="16" fillId="7" borderId="0" xfId="1" applyFont="1" applyFill="1" applyAlignment="1">
      <alignment horizontal="right" vertical="center" readingOrder="1"/>
    </xf>
    <xf numFmtId="0" fontId="21" fillId="8" borderId="0" xfId="0" applyFont="1" applyFill="1" applyAlignment="1">
      <alignment horizontal="left"/>
    </xf>
    <xf numFmtId="0" fontId="21" fillId="8" borderId="0" xfId="0" applyFont="1" applyFill="1" applyAlignment="1">
      <alignment horizontal="centerContinuous"/>
    </xf>
    <xf numFmtId="0" fontId="26" fillId="0" borderId="0" xfId="0" applyFont="1"/>
    <xf numFmtId="0" fontId="23" fillId="0" borderId="2" xfId="0" applyFont="1" applyBorder="1" applyAlignment="1">
      <alignment horizontal="center"/>
    </xf>
    <xf numFmtId="37" fontId="12" fillId="0" borderId="0" xfId="1" applyNumberFormat="1" applyFont="1" applyFill="1" applyAlignment="1">
      <alignment vertical="top"/>
    </xf>
    <xf numFmtId="37" fontId="13" fillId="0" borderId="0" xfId="1" applyNumberFormat="1" applyFont="1" applyFill="1" applyAlignment="1">
      <alignment vertical="top"/>
    </xf>
    <xf numFmtId="37" fontId="13" fillId="0" borderId="0" xfId="1" applyNumberFormat="1" applyFont="1" applyFill="1" applyAlignment="1">
      <alignment horizontal="right" vertical="top"/>
    </xf>
    <xf numFmtId="0" fontId="14" fillId="0" borderId="0" xfId="1" applyFont="1" applyFill="1"/>
    <xf numFmtId="0" fontId="15" fillId="0" borderId="0" xfId="1" applyFont="1" applyFill="1" applyAlignment="1">
      <alignment horizontal="left" vertical="center" readingOrder="1"/>
    </xf>
    <xf numFmtId="0" fontId="16" fillId="0" borderId="0" xfId="1" applyFont="1" applyFill="1" applyAlignment="1">
      <alignment horizontal="left" vertical="center" readingOrder="1"/>
    </xf>
    <xf numFmtId="0" fontId="17" fillId="0" borderId="0" xfId="1" applyFont="1" applyFill="1" applyAlignment="1">
      <alignment horizontal="left" vertical="center" readingOrder="1"/>
    </xf>
    <xf numFmtId="0" fontId="16" fillId="0" borderId="0" xfId="1" applyFont="1" applyFill="1" applyAlignment="1">
      <alignment horizontal="right" vertical="center" readingOrder="1"/>
    </xf>
    <xf numFmtId="0" fontId="11" fillId="2" borderId="0" xfId="1" applyFont="1" applyFill="1" applyAlignment="1">
      <alignment horizontal="left" vertical="center" wrapText="1"/>
    </xf>
  </cellXfs>
  <cellStyles count="6">
    <cellStyle name="Comma 2" xfId="4" xr:uid="{89864F27-D5C1-4335-9B15-C74140283FD9}"/>
    <cellStyle name="Currency 2" xfId="5" xr:uid="{F41CB31C-E866-45A5-B369-FCA6E7D3E94B}"/>
    <cellStyle name="Hyperlink 2 2" xfId="2" xr:uid="{3959AA91-3617-413D-8F4F-4E05A874DEC8}"/>
    <cellStyle name="Normal" xfId="0" builtinId="0"/>
    <cellStyle name="Normal 2 2 2" xfId="1" xr:uid="{6431FECD-C2CD-494A-8B83-55597FBE989D}"/>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xdr:colOff>
      <xdr:row>4</xdr:row>
      <xdr:rowOff>1</xdr:rowOff>
    </xdr:from>
    <xdr:to>
      <xdr:col>5</xdr:col>
      <xdr:colOff>21771</xdr:colOff>
      <xdr:row>8</xdr:row>
      <xdr:rowOff>81644</xdr:rowOff>
    </xdr:to>
    <xdr:pic>
      <xdr:nvPicPr>
        <xdr:cNvPr id="2" name="Picture 1">
          <a:extLst>
            <a:ext uri="{FF2B5EF4-FFF2-40B4-BE49-F238E27FC236}">
              <a16:creationId xmlns:a16="http://schemas.microsoft.com/office/drawing/2014/main" id="{7127DEB3-35B7-4018-8FDD-ED4516FD73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4644" y="696687"/>
          <a:ext cx="2509156" cy="7783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11430</xdr:colOff>
      <xdr:row>5</xdr:row>
      <xdr:rowOff>22860</xdr:rowOff>
    </xdr:from>
    <xdr:to>
      <xdr:col>5</xdr:col>
      <xdr:colOff>468630</xdr:colOff>
      <xdr:row>8</xdr:row>
      <xdr:rowOff>49530</xdr:rowOff>
    </xdr:to>
    <xdr:sp macro="[0]!ExportFile" textlink="">
      <xdr:nvSpPr>
        <xdr:cNvPr id="2" name="Rectangle: Beveled 1">
          <a:extLst>
            <a:ext uri="{FF2B5EF4-FFF2-40B4-BE49-F238E27FC236}">
              <a16:creationId xmlns:a16="http://schemas.microsoft.com/office/drawing/2014/main" id="{F91C5EDF-3BBC-4550-A99E-066159E5491E}"/>
            </a:ext>
          </a:extLst>
        </xdr:cNvPr>
        <xdr:cNvSpPr/>
      </xdr:nvSpPr>
      <xdr:spPr>
        <a:xfrm>
          <a:off x="2114550" y="948690"/>
          <a:ext cx="1859280" cy="552450"/>
        </a:xfrm>
        <a:prstGeom prst="bevel">
          <a:avLst/>
        </a:prstGeom>
        <a:solidFill>
          <a:schemeClr val="bg2"/>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Archive File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hared%20drives\BIDA%20(External)\Course%20Ideas\Cube%20Formulas\CubeExamp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PAGE"/>
      <sheetName val="Examples for Slides"/>
      <sheetName val="Test"/>
      <sheetName val="Josephs Test Sheet"/>
      <sheetName val="CUBE STATEMENT"/>
      <sheetName val="Sheet3"/>
      <sheetName val="Settings"/>
      <sheetName val="COLORS"/>
    </sheetNames>
    <sheetDataSet>
      <sheetData sheetId="0"/>
      <sheetData sheetId="1"/>
      <sheetData sheetId="2"/>
      <sheetData sheetId="3"/>
      <sheetData sheetId="4"/>
      <sheetData sheetId="5"/>
      <sheetData sheetId="6">
        <row r="2">
          <cell r="C2">
            <v>2020</v>
          </cell>
        </row>
      </sheetData>
      <sheetData sheetId="7"/>
    </sheetDataSet>
  </externalBook>
</externalLink>
</file>

<file path=xl/theme/theme1.xml><?xml version="1.0" encoding="utf-8"?>
<a:theme xmlns:a="http://schemas.openxmlformats.org/drawingml/2006/main" name="CFI Power Point Theme 2021-03-22">
  <a:themeElements>
    <a:clrScheme name="CFI">
      <a:dk1>
        <a:srgbClr val="57595D"/>
      </a:dk1>
      <a:lt1>
        <a:srgbClr val="FFFFFF"/>
      </a:lt1>
      <a:dk2>
        <a:srgbClr val="3271D2"/>
      </a:dk2>
      <a:lt2>
        <a:srgbClr val="132E57"/>
      </a:lt2>
      <a:accent1>
        <a:srgbClr val="25A2AF"/>
      </a:accent1>
      <a:accent2>
        <a:srgbClr val="1F995B"/>
      </a:accent2>
      <a:accent3>
        <a:srgbClr val="ED942D"/>
      </a:accent3>
      <a:accent4>
        <a:srgbClr val="FA621C"/>
      </a:accent4>
      <a:accent5>
        <a:srgbClr val="B7276E"/>
      </a:accent5>
      <a:accent6>
        <a:srgbClr val="5A1973"/>
      </a:accent6>
      <a:hlink>
        <a:srgbClr val="3271D2"/>
      </a:hlink>
      <a:folHlink>
        <a:srgbClr val="3271D2"/>
      </a:folHlink>
    </a:clrScheme>
    <a:fontScheme name="Office">
      <a:majorFont>
        <a:latin typeface="Arial"/>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FI Power Point Theme 2021-03-22" id="{8B02B856-74F7-4D85-ACD4-63632CEB4183}" vid="{FED33E97-0C10-45E7-86F0-D83C74411110}"/>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orporatefinanceinstitute.co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FDFFC-F9EE-4C83-8697-AB6AD522CF9D}">
  <sheetPr codeName="ws_header"/>
  <dimension ref="B2:Q41"/>
  <sheetViews>
    <sheetView zoomScale="70" zoomScaleNormal="70" workbookViewId="0">
      <selection activeCell="P15" sqref="P15"/>
    </sheetView>
  </sheetViews>
  <sheetFormatPr defaultColWidth="10.75" defaultRowHeight="14"/>
  <cols>
    <col min="1" max="1" width="4.5" style="3" customWidth="1"/>
    <col min="2" max="2" width="10.75" style="3"/>
    <col min="3" max="3" width="9.58203125" style="3" customWidth="1"/>
    <col min="4" max="16384" width="10.75" style="3"/>
  </cols>
  <sheetData>
    <row r="2" spans="2:17">
      <c r="B2" s="2"/>
      <c r="C2" s="2"/>
      <c r="D2" s="2"/>
      <c r="E2" s="2"/>
      <c r="F2" s="2"/>
      <c r="G2" s="2"/>
      <c r="H2" s="2"/>
      <c r="I2" s="2"/>
      <c r="J2" s="2"/>
      <c r="K2" s="2"/>
      <c r="L2" s="2"/>
      <c r="M2" s="2"/>
      <c r="N2" s="2"/>
      <c r="O2" s="2"/>
      <c r="P2" s="2"/>
      <c r="Q2" s="2"/>
    </row>
    <row r="3" spans="2:17">
      <c r="B3" s="2"/>
      <c r="C3" s="2"/>
      <c r="D3" s="2"/>
      <c r="E3" s="2"/>
      <c r="F3" s="2"/>
      <c r="G3" s="2"/>
      <c r="H3" s="2"/>
      <c r="I3" s="2"/>
      <c r="J3" s="2"/>
      <c r="K3" s="2"/>
      <c r="L3" s="2"/>
      <c r="M3" s="2"/>
      <c r="N3" s="2"/>
      <c r="O3" s="2"/>
      <c r="P3" s="2"/>
      <c r="Q3" s="2"/>
    </row>
    <row r="4" spans="2:17">
      <c r="B4" s="2"/>
      <c r="C4" s="2"/>
      <c r="D4" s="2"/>
      <c r="E4" s="2"/>
      <c r="F4" s="2"/>
      <c r="G4" s="2"/>
      <c r="H4" s="2"/>
      <c r="I4" s="2"/>
      <c r="J4" s="2"/>
      <c r="K4" s="2"/>
      <c r="L4" s="2"/>
      <c r="M4" s="2"/>
      <c r="N4" s="2"/>
      <c r="O4" s="2"/>
      <c r="P4" s="2"/>
      <c r="Q4" s="2"/>
    </row>
    <row r="5" spans="2:17">
      <c r="B5" s="2"/>
      <c r="C5" s="2"/>
      <c r="D5" s="2"/>
      <c r="E5" s="2"/>
      <c r="F5" s="2"/>
      <c r="G5" s="2"/>
      <c r="H5" s="2"/>
      <c r="I5" s="2"/>
      <c r="J5" s="2"/>
      <c r="K5" s="2"/>
      <c r="L5" s="2"/>
      <c r="M5" s="2"/>
      <c r="N5" s="2"/>
      <c r="O5" s="2"/>
      <c r="P5" s="2"/>
      <c r="Q5" s="2"/>
    </row>
    <row r="6" spans="2:17">
      <c r="B6" s="2"/>
      <c r="C6" s="2"/>
      <c r="D6" s="2"/>
      <c r="E6" s="2"/>
      <c r="F6" s="2"/>
      <c r="G6" s="2"/>
      <c r="H6" s="2"/>
      <c r="I6" s="2"/>
      <c r="J6" s="2"/>
      <c r="K6" s="2"/>
      <c r="L6" s="2"/>
      <c r="M6" s="2"/>
      <c r="N6" s="2"/>
      <c r="O6" s="2"/>
      <c r="P6" s="2"/>
      <c r="Q6" s="2"/>
    </row>
    <row r="7" spans="2:17">
      <c r="B7" s="2"/>
      <c r="C7" s="2"/>
      <c r="D7" s="2"/>
      <c r="E7" s="2"/>
      <c r="F7" s="2"/>
      <c r="G7" s="2"/>
      <c r="H7" s="2"/>
      <c r="I7" s="2"/>
      <c r="J7" s="2"/>
      <c r="K7" s="2"/>
      <c r="L7" s="2"/>
      <c r="M7" s="2"/>
      <c r="N7" s="2"/>
      <c r="O7" s="2"/>
      <c r="P7" s="2"/>
      <c r="Q7" s="2"/>
    </row>
    <row r="8" spans="2:17">
      <c r="B8" s="2"/>
      <c r="C8" s="2"/>
      <c r="D8" s="2"/>
      <c r="E8" s="2"/>
      <c r="F8" s="2"/>
      <c r="G8" s="2"/>
      <c r="H8" s="2"/>
      <c r="I8" s="2"/>
      <c r="J8" s="2"/>
      <c r="K8" s="2"/>
      <c r="L8" s="2"/>
      <c r="M8" s="2"/>
      <c r="N8" s="2"/>
      <c r="O8" s="2"/>
      <c r="P8" s="2"/>
      <c r="Q8" s="2"/>
    </row>
    <row r="9" spans="2:17">
      <c r="B9" s="2"/>
      <c r="C9" s="2"/>
      <c r="D9" s="2"/>
      <c r="E9" s="2"/>
      <c r="F9" s="2"/>
      <c r="G9" s="2"/>
      <c r="H9" s="2"/>
      <c r="I9" s="2"/>
      <c r="J9" s="2"/>
      <c r="K9" s="2"/>
      <c r="L9" s="2"/>
      <c r="M9" s="2"/>
      <c r="N9" s="2"/>
      <c r="O9" s="2"/>
      <c r="P9" s="2"/>
      <c r="Q9" s="2"/>
    </row>
    <row r="10" spans="2:17">
      <c r="B10" s="2"/>
      <c r="C10" s="2"/>
      <c r="D10" s="2"/>
      <c r="E10" s="2"/>
      <c r="F10" s="2"/>
      <c r="G10" s="2"/>
      <c r="H10" s="2"/>
      <c r="I10" s="2"/>
      <c r="J10" s="2"/>
      <c r="K10" s="2"/>
      <c r="L10" s="2"/>
      <c r="M10" s="2"/>
      <c r="N10" s="2"/>
      <c r="O10" s="2"/>
      <c r="P10" s="2"/>
      <c r="Q10" s="2"/>
    </row>
    <row r="11" spans="2:17">
      <c r="B11" s="2"/>
      <c r="C11" s="2"/>
      <c r="D11" s="2"/>
      <c r="E11" s="2"/>
      <c r="F11" s="2"/>
      <c r="G11" s="2"/>
      <c r="H11" s="2"/>
      <c r="I11" s="2"/>
      <c r="J11" s="2"/>
      <c r="K11" s="2"/>
      <c r="L11" s="2"/>
      <c r="M11" s="2"/>
      <c r="N11" s="2"/>
      <c r="O11" s="2"/>
      <c r="P11" s="2"/>
      <c r="Q11" s="2"/>
    </row>
    <row r="12" spans="2:17">
      <c r="B12" s="2"/>
      <c r="C12" s="2"/>
      <c r="D12" s="2"/>
      <c r="E12" s="2"/>
      <c r="F12" s="2"/>
      <c r="G12" s="2"/>
      <c r="H12" s="2"/>
      <c r="I12" s="2"/>
      <c r="J12" s="2"/>
      <c r="K12" s="2"/>
      <c r="L12" s="2"/>
      <c r="M12" s="2"/>
      <c r="N12" s="2"/>
      <c r="O12" s="2"/>
      <c r="P12" s="2"/>
      <c r="Q12" s="2"/>
    </row>
    <row r="13" spans="2:17">
      <c r="B13" s="2"/>
      <c r="C13" s="2"/>
      <c r="D13" s="2"/>
      <c r="E13" s="2"/>
      <c r="F13" s="2"/>
      <c r="G13" s="2"/>
      <c r="H13" s="2"/>
      <c r="I13" s="2"/>
      <c r="J13" s="2"/>
      <c r="K13" s="2"/>
      <c r="L13" s="2"/>
      <c r="M13" s="2"/>
      <c r="N13" s="2"/>
      <c r="O13" s="2"/>
      <c r="P13" s="2"/>
      <c r="Q13" s="2"/>
    </row>
    <row r="14" spans="2:17">
      <c r="B14" s="2"/>
      <c r="C14" s="2"/>
      <c r="D14" s="2"/>
      <c r="E14" s="2"/>
      <c r="F14" s="2"/>
      <c r="G14" s="2"/>
      <c r="H14" s="2"/>
      <c r="I14" s="2"/>
      <c r="J14" s="2"/>
      <c r="K14" s="2"/>
      <c r="L14" s="2"/>
      <c r="M14" s="2"/>
      <c r="N14" s="2"/>
      <c r="O14" s="2"/>
      <c r="P14" s="2"/>
      <c r="Q14" s="2"/>
    </row>
    <row r="15" spans="2:17">
      <c r="B15" s="2"/>
      <c r="C15" s="2"/>
      <c r="D15" s="2"/>
      <c r="E15" s="2"/>
      <c r="F15" s="2"/>
      <c r="G15" s="2"/>
      <c r="H15" s="2"/>
      <c r="I15" s="2"/>
      <c r="J15" s="2"/>
      <c r="K15" s="2"/>
      <c r="L15" s="2"/>
      <c r="M15" s="2"/>
      <c r="N15" s="2"/>
      <c r="O15" s="2"/>
      <c r="P15" s="2"/>
      <c r="Q15" s="2"/>
    </row>
    <row r="16" spans="2:17" ht="28">
      <c r="B16" s="2"/>
      <c r="C16" s="4" t="s">
        <v>7</v>
      </c>
      <c r="D16" s="2"/>
      <c r="E16" s="2"/>
      <c r="F16" s="2"/>
      <c r="G16" s="2"/>
      <c r="H16" s="2"/>
      <c r="I16" s="2"/>
      <c r="J16" s="2"/>
      <c r="K16" s="2"/>
      <c r="L16" s="2"/>
      <c r="M16" s="2"/>
      <c r="N16" s="2"/>
      <c r="O16" s="2"/>
      <c r="P16" s="2"/>
      <c r="Q16" s="2"/>
    </row>
    <row r="17" spans="2:17">
      <c r="B17" s="2"/>
      <c r="C17" s="2"/>
      <c r="D17" s="2"/>
      <c r="E17" s="2"/>
      <c r="F17" s="2"/>
      <c r="G17" s="2"/>
      <c r="H17" s="2"/>
      <c r="I17" s="2"/>
      <c r="J17" s="2"/>
      <c r="K17" s="2"/>
      <c r="L17" s="2"/>
      <c r="M17" s="2"/>
      <c r="N17" s="2"/>
      <c r="O17" s="2"/>
      <c r="P17" s="2"/>
      <c r="Q17" s="2"/>
    </row>
    <row r="18" spans="2:17">
      <c r="B18" s="2"/>
      <c r="C18" s="2"/>
      <c r="D18" s="2"/>
      <c r="E18" s="2"/>
      <c r="F18" s="2"/>
      <c r="G18" s="2"/>
      <c r="H18" s="2"/>
      <c r="I18" s="2"/>
      <c r="J18" s="2"/>
      <c r="K18" s="2"/>
      <c r="L18" s="2"/>
      <c r="M18" s="2"/>
      <c r="N18" s="2"/>
      <c r="O18" s="2"/>
      <c r="P18" s="5"/>
      <c r="Q18" s="2"/>
    </row>
    <row r="19" spans="2:17" ht="19">
      <c r="B19" s="2"/>
      <c r="C19" s="6" t="s">
        <v>6</v>
      </c>
      <c r="D19" s="7"/>
      <c r="E19" s="7"/>
      <c r="F19" s="7"/>
      <c r="G19" s="2"/>
      <c r="H19" s="2"/>
      <c r="I19" s="2"/>
      <c r="J19" s="2"/>
      <c r="K19" s="2"/>
      <c r="L19" s="2"/>
      <c r="M19" s="2"/>
      <c r="N19" s="2"/>
      <c r="O19" s="2"/>
      <c r="P19" s="2"/>
      <c r="Q19" s="2"/>
    </row>
    <row r="20" spans="2:17" ht="15.5">
      <c r="B20" s="2"/>
      <c r="C20" s="8" t="s">
        <v>8</v>
      </c>
      <c r="D20" s="2"/>
      <c r="E20" s="2"/>
      <c r="F20" s="2"/>
      <c r="G20" s="2"/>
      <c r="H20" s="2"/>
      <c r="I20" s="2"/>
      <c r="J20" s="2"/>
      <c r="K20" s="2"/>
      <c r="L20" s="2"/>
      <c r="M20" s="2"/>
      <c r="N20" s="2"/>
      <c r="O20" s="2"/>
      <c r="P20" s="2"/>
      <c r="Q20" s="2"/>
    </row>
    <row r="21" spans="2:17" ht="15.5">
      <c r="B21" s="2"/>
      <c r="C21" s="8"/>
      <c r="D21" s="2"/>
      <c r="E21" s="2"/>
      <c r="F21" s="2"/>
      <c r="G21" s="2"/>
      <c r="H21" s="2"/>
      <c r="I21" s="2"/>
      <c r="J21" s="2"/>
      <c r="K21" s="2"/>
      <c r="L21" s="2"/>
      <c r="M21" s="2"/>
      <c r="N21" s="2"/>
      <c r="O21" s="2"/>
      <c r="P21" s="2"/>
      <c r="Q21" s="2"/>
    </row>
    <row r="22" spans="2:17">
      <c r="B22" s="2"/>
      <c r="C22" s="2"/>
      <c r="D22" s="2"/>
      <c r="E22" s="2"/>
      <c r="F22" s="2"/>
      <c r="G22" s="2"/>
      <c r="H22" s="2"/>
      <c r="I22" s="2"/>
      <c r="J22" s="2"/>
      <c r="K22" s="2"/>
      <c r="L22" s="2"/>
      <c r="M22" s="2"/>
      <c r="N22" s="2"/>
      <c r="O22" s="2"/>
      <c r="P22" s="2"/>
      <c r="Q22" s="2"/>
    </row>
    <row r="23" spans="2:17">
      <c r="B23" s="2"/>
      <c r="C23" s="2"/>
      <c r="D23" s="2"/>
      <c r="E23" s="2"/>
      <c r="F23" s="2"/>
      <c r="G23" s="2"/>
      <c r="H23" s="2"/>
      <c r="I23" s="2"/>
      <c r="J23" s="2"/>
      <c r="K23" s="2"/>
      <c r="L23" s="2"/>
      <c r="M23" s="2"/>
      <c r="N23" s="2"/>
      <c r="O23" s="2"/>
      <c r="P23" s="2"/>
      <c r="Q23" s="2"/>
    </row>
    <row r="24" spans="2:17" ht="15.5">
      <c r="B24" s="2"/>
      <c r="C24" s="9" t="s">
        <v>0</v>
      </c>
      <c r="D24" s="2"/>
      <c r="E24" s="2"/>
      <c r="F24" s="2"/>
      <c r="G24" s="2"/>
      <c r="H24" s="2"/>
      <c r="I24" s="2"/>
      <c r="J24" s="2"/>
      <c r="K24" s="2"/>
      <c r="L24" s="2"/>
      <c r="M24" s="2"/>
      <c r="N24" s="2"/>
      <c r="O24" s="2"/>
      <c r="P24" s="2"/>
      <c r="Q24" s="2"/>
    </row>
    <row r="25" spans="2:17" ht="15.5">
      <c r="B25" s="2"/>
      <c r="C25" s="10" t="s">
        <v>5</v>
      </c>
      <c r="D25" s="2"/>
      <c r="E25" s="2"/>
      <c r="F25" s="2"/>
      <c r="G25" s="2"/>
      <c r="H25" s="2"/>
      <c r="I25" s="2"/>
      <c r="J25" s="2"/>
      <c r="K25" s="2"/>
      <c r="L25" s="2"/>
      <c r="M25" s="2"/>
      <c r="N25" s="2"/>
      <c r="O25" s="2"/>
      <c r="P25" s="2"/>
      <c r="Q25" s="2"/>
    </row>
    <row r="26" spans="2:17" ht="15.5">
      <c r="B26" s="2"/>
      <c r="C26" s="9" t="s">
        <v>1</v>
      </c>
      <c r="D26" s="2"/>
      <c r="E26" s="2"/>
      <c r="F26" s="2"/>
      <c r="G26" s="2"/>
      <c r="H26" s="2"/>
      <c r="I26" s="2"/>
      <c r="J26" s="2"/>
      <c r="K26" s="2"/>
      <c r="L26" s="2"/>
      <c r="M26" s="2"/>
      <c r="N26" s="2"/>
      <c r="O26" s="2"/>
      <c r="P26" s="2"/>
      <c r="Q26" s="2"/>
    </row>
    <row r="27" spans="2:17">
      <c r="B27" s="2"/>
      <c r="C27" s="2"/>
      <c r="D27" s="2"/>
      <c r="E27" s="2"/>
      <c r="F27" s="2"/>
      <c r="G27" s="2"/>
      <c r="H27" s="2"/>
      <c r="I27" s="2"/>
      <c r="J27" s="2"/>
      <c r="K27" s="2"/>
      <c r="L27" s="2"/>
      <c r="M27" s="2"/>
      <c r="N27" s="2"/>
      <c r="O27" s="2"/>
      <c r="P27" s="2"/>
      <c r="Q27" s="2"/>
    </row>
    <row r="28" spans="2:17" ht="15.5">
      <c r="B28" s="2"/>
      <c r="C28" s="11" t="s">
        <v>2</v>
      </c>
      <c r="D28" s="2"/>
      <c r="E28" s="2"/>
      <c r="F28" s="2"/>
      <c r="G28" s="2"/>
      <c r="H28" s="2"/>
      <c r="I28" s="2"/>
      <c r="J28" s="2"/>
      <c r="K28" s="2"/>
      <c r="L28" s="2"/>
      <c r="M28" s="2"/>
      <c r="N28" s="2"/>
      <c r="O28" s="2"/>
      <c r="P28" s="2"/>
      <c r="Q28" s="2"/>
    </row>
    <row r="29" spans="2:17">
      <c r="B29" s="2"/>
      <c r="C29" s="2"/>
      <c r="D29" s="2"/>
      <c r="E29" s="2"/>
      <c r="F29" s="2"/>
      <c r="G29" s="2"/>
      <c r="H29" s="2"/>
      <c r="I29" s="2"/>
      <c r="J29" s="2"/>
      <c r="K29" s="2"/>
      <c r="L29" s="2"/>
      <c r="M29" s="2"/>
      <c r="N29" s="2"/>
      <c r="O29" s="2"/>
      <c r="P29" s="2"/>
      <c r="Q29" s="2"/>
    </row>
    <row r="30" spans="2:17">
      <c r="B30" s="2"/>
      <c r="C30" s="2"/>
      <c r="D30" s="2"/>
      <c r="E30" s="2"/>
      <c r="F30" s="2"/>
      <c r="G30" s="2"/>
      <c r="H30" s="2"/>
      <c r="I30" s="2"/>
      <c r="J30" s="2"/>
      <c r="K30" s="2"/>
      <c r="L30" s="2"/>
      <c r="M30" s="2"/>
      <c r="N30" s="2"/>
      <c r="O30" s="2"/>
      <c r="P30" s="2"/>
      <c r="Q30" s="2"/>
    </row>
    <row r="31" spans="2:17">
      <c r="B31" s="2"/>
      <c r="C31" s="2"/>
      <c r="D31" s="2"/>
      <c r="E31" s="2"/>
      <c r="F31" s="2"/>
      <c r="G31" s="2"/>
      <c r="H31" s="2"/>
      <c r="I31" s="2"/>
      <c r="J31" s="2"/>
      <c r="K31" s="2"/>
      <c r="L31" s="2"/>
      <c r="M31" s="2"/>
      <c r="N31" s="2"/>
      <c r="O31" s="2"/>
      <c r="P31" s="2"/>
      <c r="Q31" s="2"/>
    </row>
    <row r="32" spans="2:17">
      <c r="B32" s="2"/>
      <c r="C32" s="12" t="s">
        <v>3</v>
      </c>
      <c r="D32" s="13"/>
      <c r="E32" s="13"/>
      <c r="F32" s="13"/>
      <c r="G32" s="13"/>
      <c r="H32" s="13"/>
      <c r="I32" s="13"/>
      <c r="J32" s="13"/>
      <c r="K32" s="13"/>
      <c r="L32" s="13"/>
      <c r="M32" s="13"/>
      <c r="N32" s="13"/>
      <c r="O32" s="14"/>
      <c r="P32" s="14"/>
      <c r="Q32" s="2"/>
    </row>
    <row r="33" spans="2:17" ht="17.149999999999999" customHeight="1">
      <c r="B33" s="2"/>
      <c r="C33" s="70" t="s">
        <v>4</v>
      </c>
      <c r="D33" s="70"/>
      <c r="E33" s="70"/>
      <c r="F33" s="70"/>
      <c r="G33" s="70"/>
      <c r="H33" s="70"/>
      <c r="I33" s="70"/>
      <c r="J33" s="70"/>
      <c r="K33" s="70"/>
      <c r="L33" s="70"/>
      <c r="M33" s="70"/>
      <c r="N33" s="70"/>
      <c r="O33" s="70"/>
      <c r="P33" s="70"/>
      <c r="Q33" s="2"/>
    </row>
    <row r="34" spans="2:17" ht="17.149999999999999" customHeight="1">
      <c r="B34" s="2"/>
      <c r="C34" s="70"/>
      <c r="D34" s="70"/>
      <c r="E34" s="70"/>
      <c r="F34" s="70"/>
      <c r="G34" s="70"/>
      <c r="H34" s="70"/>
      <c r="I34" s="70"/>
      <c r="J34" s="70"/>
      <c r="K34" s="70"/>
      <c r="L34" s="70"/>
      <c r="M34" s="70"/>
      <c r="N34" s="70"/>
      <c r="O34" s="70"/>
      <c r="P34" s="70"/>
      <c r="Q34" s="2"/>
    </row>
    <row r="35" spans="2:17" ht="17.149999999999999" customHeight="1">
      <c r="B35" s="2"/>
      <c r="C35" s="70"/>
      <c r="D35" s="70"/>
      <c r="E35" s="70"/>
      <c r="F35" s="70"/>
      <c r="G35" s="70"/>
      <c r="H35" s="70"/>
      <c r="I35" s="70"/>
      <c r="J35" s="70"/>
      <c r="K35" s="70"/>
      <c r="L35" s="70"/>
      <c r="M35" s="70"/>
      <c r="N35" s="70"/>
      <c r="O35" s="70"/>
      <c r="P35" s="70"/>
      <c r="Q35" s="2"/>
    </row>
    <row r="36" spans="2:17" ht="15" customHeight="1">
      <c r="B36" s="2"/>
      <c r="C36" s="70"/>
      <c r="D36" s="70"/>
      <c r="E36" s="70"/>
      <c r="F36" s="70"/>
      <c r="G36" s="70"/>
      <c r="H36" s="70"/>
      <c r="I36" s="70"/>
      <c r="J36" s="70"/>
      <c r="K36" s="70"/>
      <c r="L36" s="70"/>
      <c r="M36" s="70"/>
      <c r="N36" s="70"/>
      <c r="O36" s="70"/>
      <c r="P36" s="70"/>
      <c r="Q36" s="2"/>
    </row>
    <row r="37" spans="2:17">
      <c r="B37" s="2"/>
      <c r="C37" s="2"/>
      <c r="D37" s="2"/>
      <c r="E37" s="2"/>
      <c r="F37" s="2"/>
      <c r="G37" s="2"/>
      <c r="H37" s="2"/>
      <c r="I37" s="2"/>
      <c r="J37" s="2"/>
      <c r="K37" s="2"/>
      <c r="L37" s="2"/>
      <c r="M37" s="2"/>
      <c r="N37" s="2"/>
      <c r="O37" s="2"/>
      <c r="P37" s="2"/>
      <c r="Q37" s="2"/>
    </row>
    <row r="38" spans="2:17">
      <c r="B38" s="2"/>
      <c r="C38" s="2"/>
      <c r="D38" s="2"/>
      <c r="E38" s="2"/>
      <c r="F38" s="2"/>
      <c r="G38" s="2"/>
      <c r="H38" s="2"/>
      <c r="I38" s="2"/>
      <c r="J38" s="2"/>
      <c r="K38" s="2"/>
      <c r="L38" s="2"/>
      <c r="M38" s="2"/>
      <c r="N38" s="2"/>
      <c r="O38" s="2"/>
      <c r="P38" s="2"/>
      <c r="Q38" s="2"/>
    </row>
    <row r="39" spans="2:17">
      <c r="B39" s="2"/>
      <c r="C39" s="2"/>
      <c r="D39" s="2"/>
      <c r="E39" s="2"/>
      <c r="F39" s="2"/>
      <c r="G39" s="2"/>
      <c r="H39" s="2"/>
      <c r="I39" s="2"/>
      <c r="J39" s="2"/>
      <c r="K39" s="2"/>
      <c r="L39" s="2"/>
      <c r="M39" s="2"/>
      <c r="N39" s="2"/>
      <c r="O39" s="2"/>
      <c r="P39" s="2"/>
      <c r="Q39" s="2"/>
    </row>
    <row r="40" spans="2:17">
      <c r="B40" s="2"/>
      <c r="C40" s="2"/>
      <c r="D40" s="2"/>
      <c r="E40" s="2"/>
      <c r="F40" s="2"/>
      <c r="G40" s="2"/>
      <c r="H40" s="2"/>
      <c r="I40" s="2"/>
      <c r="J40" s="2"/>
      <c r="K40" s="2"/>
      <c r="L40" s="2"/>
      <c r="M40" s="2"/>
      <c r="N40" s="2"/>
      <c r="O40" s="2"/>
      <c r="P40" s="2"/>
      <c r="Q40" s="2"/>
    </row>
    <row r="41" spans="2:17">
      <c r="B41" s="2"/>
      <c r="C41" s="2"/>
      <c r="D41" s="2"/>
      <c r="E41" s="2"/>
      <c r="F41" s="2"/>
      <c r="G41" s="2"/>
      <c r="H41" s="2"/>
      <c r="I41" s="2"/>
      <c r="J41" s="2"/>
      <c r="K41" s="2"/>
      <c r="L41" s="2"/>
      <c r="M41" s="2"/>
      <c r="N41" s="2"/>
      <c r="O41" s="2"/>
      <c r="P41" s="2"/>
      <c r="Q41" s="2"/>
    </row>
  </sheetData>
  <mergeCells count="1">
    <mergeCell ref="C33:P36"/>
  </mergeCells>
  <hyperlinks>
    <hyperlink ref="C28" r:id="rId1" xr:uid="{F2FD76FF-D086-4166-BCC6-C8C4E5FAE1AD}"/>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288E-6359-461F-95A4-261D6287C298}">
  <sheetPr codeName="Sheet12"/>
  <dimension ref="A1:M31"/>
  <sheetViews>
    <sheetView workbookViewId="0">
      <selection activeCell="C14" sqref="C14"/>
    </sheetView>
  </sheetViews>
  <sheetFormatPr defaultRowHeight="14"/>
  <cols>
    <col min="1" max="1" width="3.83203125" customWidth="1"/>
  </cols>
  <sheetData>
    <row r="1" spans="1:13" s="65" customFormat="1">
      <c r="A1" s="62" t="s">
        <v>9</v>
      </c>
      <c r="B1" s="63"/>
      <c r="C1" s="63"/>
      <c r="D1" s="63"/>
      <c r="E1" s="63"/>
      <c r="F1" s="63"/>
      <c r="G1" s="63"/>
      <c r="H1" s="63"/>
      <c r="I1" s="63"/>
      <c r="J1" s="63"/>
      <c r="K1" s="63"/>
      <c r="L1" s="63"/>
      <c r="M1" s="64"/>
    </row>
    <row r="2" spans="1:13" s="65" customFormat="1" ht="18">
      <c r="A2" s="66" t="s">
        <v>20</v>
      </c>
      <c r="B2" s="67"/>
      <c r="C2" s="68"/>
      <c r="D2" s="67"/>
      <c r="E2" s="67"/>
      <c r="F2" s="67"/>
      <c r="G2" s="67"/>
      <c r="H2" s="67"/>
      <c r="I2" s="67"/>
      <c r="J2" s="67"/>
      <c r="K2" s="67"/>
      <c r="L2" s="67"/>
      <c r="M2" s="69"/>
    </row>
    <row r="4" spans="1:13">
      <c r="B4" s="1" t="s">
        <v>21</v>
      </c>
    </row>
    <row r="5" spans="1:13">
      <c r="B5" t="s">
        <v>22</v>
      </c>
    </row>
    <row r="6" spans="1:13">
      <c r="B6" t="s">
        <v>23</v>
      </c>
    </row>
    <row r="8" spans="1:13">
      <c r="C8" t="s">
        <v>24</v>
      </c>
    </row>
    <row r="9" spans="1:13">
      <c r="C9" t="s">
        <v>25</v>
      </c>
    </row>
    <row r="10" spans="1:13">
      <c r="C10" t="s">
        <v>26</v>
      </c>
    </row>
    <row r="11" spans="1:13">
      <c r="C11" t="s">
        <v>27</v>
      </c>
    </row>
    <row r="14" spans="1:13">
      <c r="B14" s="1" t="s">
        <v>28</v>
      </c>
    </row>
    <row r="15" spans="1:13">
      <c r="B15" t="s">
        <v>29</v>
      </c>
    </row>
    <row r="16" spans="1:13">
      <c r="B16" t="s">
        <v>30</v>
      </c>
    </row>
    <row r="18" spans="3:3">
      <c r="C18" s="27" t="s">
        <v>36</v>
      </c>
    </row>
    <row r="19" spans="3:3">
      <c r="C19" t="s">
        <v>31</v>
      </c>
    </row>
    <row r="20" spans="3:3">
      <c r="C20" t="s">
        <v>32</v>
      </c>
    </row>
    <row r="21" spans="3:3">
      <c r="C21" t="s">
        <v>33</v>
      </c>
    </row>
    <row r="22" spans="3:3">
      <c r="C22" t="s">
        <v>35</v>
      </c>
    </row>
    <row r="23" spans="3:3">
      <c r="C23" t="s">
        <v>34</v>
      </c>
    </row>
    <row r="25" spans="3:3">
      <c r="C25" s="27" t="s">
        <v>37</v>
      </c>
    </row>
    <row r="26" spans="3:3">
      <c r="C26" t="s">
        <v>38</v>
      </c>
    </row>
    <row r="27" spans="3:3">
      <c r="C27" t="s">
        <v>39</v>
      </c>
    </row>
    <row r="28" spans="3:3">
      <c r="C28" t="s">
        <v>40</v>
      </c>
    </row>
    <row r="29" spans="3:3">
      <c r="C29" t="s">
        <v>41</v>
      </c>
    </row>
    <row r="30" spans="3:3">
      <c r="C30" t="s">
        <v>42</v>
      </c>
    </row>
    <row r="31" spans="3:3">
      <c r="C31" t="s">
        <v>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B389-E89E-4ED5-8E89-D04727BE8249}">
  <sheetPr codeName="ws_inputs"/>
  <dimension ref="A1:M7"/>
  <sheetViews>
    <sheetView workbookViewId="0">
      <selection activeCell="C7" sqref="C7"/>
    </sheetView>
  </sheetViews>
  <sheetFormatPr defaultRowHeight="14"/>
  <cols>
    <col min="1" max="1" width="3.5" customWidth="1"/>
  </cols>
  <sheetData>
    <row r="1" spans="1:13" s="18" customFormat="1">
      <c r="A1" s="15" t="s">
        <v>9</v>
      </c>
      <c r="B1" s="16"/>
      <c r="C1" s="16"/>
      <c r="D1" s="16"/>
      <c r="E1" s="16"/>
      <c r="F1" s="16"/>
      <c r="G1" s="16"/>
      <c r="H1" s="16"/>
      <c r="I1" s="16"/>
      <c r="J1" s="16"/>
      <c r="K1" s="16"/>
      <c r="L1" s="16"/>
      <c r="M1" s="17"/>
    </row>
    <row r="2" spans="1:13" s="18" customFormat="1" ht="18">
      <c r="A2" s="19" t="s">
        <v>10</v>
      </c>
      <c r="B2" s="20"/>
      <c r="C2" s="21"/>
      <c r="D2" s="20"/>
      <c r="E2" s="20"/>
      <c r="F2" s="20"/>
      <c r="G2" s="20"/>
      <c r="H2" s="20"/>
      <c r="I2" s="20"/>
      <c r="J2" s="20"/>
      <c r="K2" s="20"/>
      <c r="L2" s="20"/>
      <c r="M2" s="22"/>
    </row>
    <row r="3" spans="1:13">
      <c r="M3" s="23"/>
    </row>
    <row r="4" spans="1:13" s="18" customFormat="1" ht="15.5">
      <c r="B4" s="24" t="s">
        <v>11</v>
      </c>
      <c r="C4" s="25"/>
      <c r="D4" s="26"/>
      <c r="E4" s="26"/>
      <c r="F4" s="26"/>
      <c r="G4" s="26"/>
      <c r="H4" s="26"/>
      <c r="I4" s="26"/>
      <c r="J4" s="26"/>
      <c r="K4" s="26"/>
      <c r="L4" s="26"/>
      <c r="M4" s="26"/>
    </row>
    <row r="5" spans="1:13">
      <c r="B5" t="s">
        <v>12</v>
      </c>
      <c r="C5" t="s">
        <v>15</v>
      </c>
      <c r="M5" s="23"/>
    </row>
    <row r="6" spans="1:13">
      <c r="B6" t="s">
        <v>13</v>
      </c>
      <c r="C6" t="s">
        <v>15</v>
      </c>
    </row>
    <row r="7" spans="1:13">
      <c r="B7" t="s">
        <v>14</v>
      </c>
      <c r="C7" t="s">
        <v>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254DE-7607-4D69-A526-A47F23E09C5D}">
  <sheetPr codeName="ws_settings"/>
  <dimension ref="A1:M6"/>
  <sheetViews>
    <sheetView tabSelected="1" workbookViewId="0">
      <selection activeCell="G4" sqref="G4"/>
    </sheetView>
  </sheetViews>
  <sheetFormatPr defaultRowHeight="14"/>
  <sheetData>
    <row r="1" spans="1:13" s="65" customFormat="1">
      <c r="A1" s="62" t="s">
        <v>9</v>
      </c>
      <c r="B1" s="63"/>
      <c r="C1" s="63"/>
      <c r="D1" s="63"/>
      <c r="E1" s="63"/>
      <c r="F1" s="63"/>
      <c r="G1" s="63"/>
      <c r="H1" s="63"/>
      <c r="I1" s="63"/>
      <c r="J1" s="63"/>
      <c r="K1" s="63"/>
      <c r="L1" s="63"/>
      <c r="M1" s="64"/>
    </row>
    <row r="2" spans="1:13" s="65" customFormat="1" ht="18">
      <c r="A2" s="66" t="s">
        <v>17</v>
      </c>
      <c r="B2" s="67"/>
      <c r="C2" s="68"/>
      <c r="D2" s="67"/>
      <c r="E2" s="67"/>
      <c r="F2" s="67"/>
      <c r="G2" s="67"/>
      <c r="H2" s="67"/>
      <c r="I2" s="67"/>
      <c r="J2" s="67"/>
      <c r="K2" s="67"/>
      <c r="L2" s="67"/>
      <c r="M2" s="69"/>
    </row>
    <row r="4" spans="1:13">
      <c r="B4" t="s">
        <v>18</v>
      </c>
      <c r="C4" s="27" t="s">
        <v>77</v>
      </c>
    </row>
    <row r="6" spans="1:13">
      <c r="B6" t="s">
        <v>19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06B12-7AEF-4CA7-926F-09B3D86FCEA6}">
  <sheetPr codeName="Sheet2">
    <tabColor theme="3"/>
  </sheetPr>
  <dimension ref="A1:M46"/>
  <sheetViews>
    <sheetView topLeftCell="A22" workbookViewId="0">
      <selection activeCell="B48" sqref="B48"/>
    </sheetView>
  </sheetViews>
  <sheetFormatPr defaultRowHeight="14"/>
  <cols>
    <col min="1" max="1" width="26.75" bestFit="1" customWidth="1"/>
    <col min="4" max="8" width="12.25" customWidth="1"/>
  </cols>
  <sheetData>
    <row r="1" spans="1:13" s="18" customFormat="1">
      <c r="A1" s="51" t="s">
        <v>9</v>
      </c>
      <c r="B1" s="52"/>
      <c r="C1" s="52"/>
      <c r="D1" s="52"/>
      <c r="E1" s="52"/>
      <c r="F1" s="52"/>
      <c r="G1" s="52"/>
      <c r="H1" s="52"/>
      <c r="I1" s="52"/>
      <c r="J1" s="52"/>
      <c r="K1" s="52"/>
      <c r="L1" s="52"/>
      <c r="M1" s="53"/>
    </row>
    <row r="2" spans="1:13" s="18" customFormat="1" ht="18">
      <c r="A2" s="54" t="s">
        <v>16</v>
      </c>
      <c r="B2" s="55"/>
      <c r="C2" s="56"/>
      <c r="D2" s="55"/>
      <c r="E2" s="55"/>
      <c r="F2" s="55"/>
      <c r="G2" s="55"/>
      <c r="H2" s="55"/>
      <c r="I2" s="55"/>
      <c r="J2" s="55"/>
      <c r="K2" s="55"/>
      <c r="L2" s="55"/>
      <c r="M2" s="57"/>
    </row>
    <row r="4" spans="1:13">
      <c r="A4" s="58" t="s">
        <v>44</v>
      </c>
      <c r="B4" s="59"/>
      <c r="C4" s="59"/>
      <c r="D4" s="59"/>
      <c r="E4" s="59"/>
      <c r="F4" s="59"/>
      <c r="G4" s="59"/>
      <c r="H4" s="5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60" t="s">
        <v>61</v>
      </c>
      <c r="B27" s="61" t="s">
        <v>62</v>
      </c>
      <c r="C27" s="61" t="s">
        <v>63</v>
      </c>
      <c r="D27" s="61"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60" t="s">
        <v>68</v>
      </c>
      <c r="B34" s="61" t="s">
        <v>62</v>
      </c>
      <c r="C34" s="61" t="s">
        <v>63</v>
      </c>
      <c r="D34" s="61"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60" t="s">
        <v>69</v>
      </c>
      <c r="B41" s="61" t="s">
        <v>62</v>
      </c>
      <c r="C41" s="61" t="s">
        <v>63</v>
      </c>
      <c r="D41" s="61"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83970-BD4F-40DE-84BF-CF91CEC87AE9}">
  <sheetPr codeName="Sheet4">
    <tabColor theme="3"/>
  </sheetPr>
  <dimension ref="A1:M46"/>
  <sheetViews>
    <sheetView topLeftCell="A16" workbookViewId="0">
      <selection activeCell="B48" sqref="B48"/>
    </sheetView>
  </sheetViews>
  <sheetFormatPr defaultRowHeight="14"/>
  <cols>
    <col min="1" max="1" width="26.75" bestFit="1" customWidth="1"/>
    <col min="4" max="8" width="12.25" customWidth="1"/>
  </cols>
  <sheetData>
    <row r="1" spans="1:13" s="18" customFormat="1">
      <c r="A1" s="15" t="s">
        <v>9</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A4" s="28" t="s">
        <v>70</v>
      </c>
      <c r="B4" s="29"/>
      <c r="C4" s="29"/>
      <c r="D4" s="29"/>
      <c r="E4" s="29"/>
      <c r="F4" s="29"/>
      <c r="G4" s="29"/>
      <c r="H4" s="2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45" t="s">
        <v>61</v>
      </c>
      <c r="B27" s="46" t="s">
        <v>62</v>
      </c>
      <c r="C27" s="46" t="s">
        <v>63</v>
      </c>
      <c r="D27" s="46"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45" t="s">
        <v>68</v>
      </c>
      <c r="B34" s="46" t="s">
        <v>62</v>
      </c>
      <c r="C34" s="46" t="s">
        <v>63</v>
      </c>
      <c r="D34" s="46"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45" t="s">
        <v>69</v>
      </c>
      <c r="B41" s="46" t="s">
        <v>62</v>
      </c>
      <c r="C41" s="46" t="s">
        <v>63</v>
      </c>
      <c r="D41" s="46"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AC4B2-71AA-4218-95B6-F0737486534D}">
  <sheetPr codeName="Sheet1">
    <tabColor theme="3"/>
  </sheetPr>
  <dimension ref="A1:M46"/>
  <sheetViews>
    <sheetView workbookViewId="0">
      <selection activeCell="B48" sqref="B48"/>
    </sheetView>
  </sheetViews>
  <sheetFormatPr defaultRowHeight="14"/>
  <cols>
    <col min="1" max="1" width="26.75" bestFit="1" customWidth="1"/>
    <col min="4" max="8" width="12.25" customWidth="1"/>
  </cols>
  <sheetData>
    <row r="1" spans="1:13" s="18" customFormat="1">
      <c r="A1" s="15" t="s">
        <v>9</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A4" s="28" t="s">
        <v>71</v>
      </c>
      <c r="B4" s="29"/>
      <c r="C4" s="29"/>
      <c r="D4" s="29"/>
      <c r="E4" s="29"/>
      <c r="F4" s="29"/>
      <c r="G4" s="29"/>
      <c r="H4" s="2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45" t="s">
        <v>61</v>
      </c>
      <c r="B27" s="46" t="s">
        <v>62</v>
      </c>
      <c r="C27" s="46" t="s">
        <v>63</v>
      </c>
      <c r="D27" s="46"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45" t="s">
        <v>68</v>
      </c>
      <c r="B34" s="46" t="s">
        <v>62</v>
      </c>
      <c r="C34" s="46" t="s">
        <v>63</v>
      </c>
      <c r="D34" s="46"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45" t="s">
        <v>69</v>
      </c>
      <c r="B41" s="46" t="s">
        <v>62</v>
      </c>
      <c r="C41" s="46" t="s">
        <v>63</v>
      </c>
      <c r="D41" s="46"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18D4-2CD9-47D3-A7E4-A204325AA505}">
  <sheetPr codeName="Sheet5">
    <tabColor theme="3"/>
  </sheetPr>
  <dimension ref="A1:M46"/>
  <sheetViews>
    <sheetView workbookViewId="0">
      <selection activeCell="B48" sqref="B48"/>
    </sheetView>
  </sheetViews>
  <sheetFormatPr defaultRowHeight="14"/>
  <cols>
    <col min="1" max="1" width="26.75" bestFit="1" customWidth="1"/>
    <col min="4" max="8" width="12.25" customWidth="1"/>
  </cols>
  <sheetData>
    <row r="1" spans="1:13" s="18" customFormat="1">
      <c r="A1" s="15" t="s">
        <v>9</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A4" s="28" t="s">
        <v>72</v>
      </c>
      <c r="B4" s="29"/>
      <c r="C4" s="29"/>
      <c r="D4" s="29"/>
      <c r="E4" s="29"/>
      <c r="F4" s="29"/>
      <c r="G4" s="29"/>
      <c r="H4" s="2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45" t="s">
        <v>61</v>
      </c>
      <c r="B27" s="46" t="s">
        <v>62</v>
      </c>
      <c r="C27" s="46" t="s">
        <v>63</v>
      </c>
      <c r="D27" s="46"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45" t="s">
        <v>68</v>
      </c>
      <c r="B34" s="46" t="s">
        <v>62</v>
      </c>
      <c r="C34" s="46" t="s">
        <v>63</v>
      </c>
      <c r="D34" s="46"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45" t="s">
        <v>69</v>
      </c>
      <c r="B41" s="46" t="s">
        <v>62</v>
      </c>
      <c r="C41" s="46" t="s">
        <v>63</v>
      </c>
      <c r="D41" s="46"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9B44D-CA4E-4206-9189-FFA82AE9B40A}">
  <sheetPr codeName="Sheet6">
    <tabColor theme="3"/>
  </sheetPr>
  <dimension ref="A1:M46"/>
  <sheetViews>
    <sheetView topLeftCell="A4" workbookViewId="0">
      <selection activeCell="B48" sqref="B48"/>
    </sheetView>
  </sheetViews>
  <sheetFormatPr defaultRowHeight="14"/>
  <cols>
    <col min="1" max="1" width="26.75" bestFit="1" customWidth="1"/>
    <col min="4" max="8" width="12.25" customWidth="1"/>
  </cols>
  <sheetData>
    <row r="1" spans="1:13" s="18" customFormat="1">
      <c r="A1" s="15" t="s">
        <v>9</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A4" s="28" t="s">
        <v>73</v>
      </c>
      <c r="B4" s="29"/>
      <c r="C4" s="29"/>
      <c r="D4" s="29"/>
      <c r="E4" s="29"/>
      <c r="F4" s="29"/>
      <c r="G4" s="29"/>
      <c r="H4" s="2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45" t="s">
        <v>61</v>
      </c>
      <c r="B27" s="46" t="s">
        <v>62</v>
      </c>
      <c r="C27" s="46" t="s">
        <v>63</v>
      </c>
      <c r="D27" s="46"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45" t="s">
        <v>68</v>
      </c>
      <c r="B34" s="46" t="s">
        <v>62</v>
      </c>
      <c r="C34" s="46" t="s">
        <v>63</v>
      </c>
      <c r="D34" s="46"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45" t="s">
        <v>69</v>
      </c>
      <c r="B41" s="46" t="s">
        <v>62</v>
      </c>
      <c r="C41" s="46" t="s">
        <v>63</v>
      </c>
      <c r="D41" s="46"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94E61-97A1-41A8-B628-B5B5E904CA5C}">
  <sheetPr codeName="Sheet8">
    <tabColor theme="3"/>
  </sheetPr>
  <dimension ref="A1:M46"/>
  <sheetViews>
    <sheetView topLeftCell="A25" workbookViewId="0">
      <selection activeCell="B48" sqref="B48"/>
    </sheetView>
  </sheetViews>
  <sheetFormatPr defaultRowHeight="14"/>
  <cols>
    <col min="1" max="1" width="26.75" bestFit="1" customWidth="1"/>
    <col min="4" max="8" width="12.25" customWidth="1"/>
  </cols>
  <sheetData>
    <row r="1" spans="1:13" s="18" customFormat="1">
      <c r="A1" s="15" t="s">
        <v>9</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A4" s="28" t="s">
        <v>74</v>
      </c>
      <c r="B4" s="29"/>
      <c r="C4" s="29"/>
      <c r="D4" s="29"/>
      <c r="E4" s="29"/>
      <c r="F4" s="29"/>
      <c r="G4" s="29"/>
      <c r="H4" s="2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45" t="s">
        <v>61</v>
      </c>
      <c r="B27" s="46" t="s">
        <v>62</v>
      </c>
      <c r="C27" s="46" t="s">
        <v>63</v>
      </c>
      <c r="D27" s="46"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45" t="s">
        <v>68</v>
      </c>
      <c r="B34" s="46" t="s">
        <v>62</v>
      </c>
      <c r="C34" s="46" t="s">
        <v>63</v>
      </c>
      <c r="D34" s="46"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45" t="s">
        <v>69</v>
      </c>
      <c r="B41" s="46" t="s">
        <v>62</v>
      </c>
      <c r="C41" s="46" t="s">
        <v>63</v>
      </c>
      <c r="D41" s="46"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46DFB-ED39-408E-B80B-4D0998B7A023}">
  <sheetPr codeName="Sheet7">
    <tabColor theme="3"/>
  </sheetPr>
  <dimension ref="A1:M46"/>
  <sheetViews>
    <sheetView workbookViewId="0">
      <selection activeCell="G24" sqref="G24"/>
    </sheetView>
  </sheetViews>
  <sheetFormatPr defaultRowHeight="14"/>
  <cols>
    <col min="1" max="1" width="26.75" bestFit="1" customWidth="1"/>
    <col min="4" max="8" width="12.25" customWidth="1"/>
  </cols>
  <sheetData>
    <row r="1" spans="1:13" s="18" customFormat="1">
      <c r="A1" s="15" t="s">
        <v>9</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A4" s="28" t="s">
        <v>75</v>
      </c>
      <c r="B4" s="29"/>
      <c r="C4" s="29"/>
      <c r="D4" s="29"/>
      <c r="E4" s="29"/>
      <c r="F4" s="29"/>
      <c r="G4" s="29"/>
      <c r="H4" s="2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45" t="s">
        <v>61</v>
      </c>
      <c r="B27" s="46" t="s">
        <v>62</v>
      </c>
      <c r="C27" s="46" t="s">
        <v>63</v>
      </c>
      <c r="D27" s="46"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45" t="s">
        <v>68</v>
      </c>
      <c r="B34" s="46" t="s">
        <v>62</v>
      </c>
      <c r="C34" s="46" t="s">
        <v>63</v>
      </c>
      <c r="D34" s="46"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45" t="s">
        <v>69</v>
      </c>
      <c r="B41" s="46" t="s">
        <v>62</v>
      </c>
      <c r="C41" s="46" t="s">
        <v>63</v>
      </c>
      <c r="D41" s="46"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0D28A-4C8B-4434-8938-D26541A08E67}">
  <sheetPr codeName="Sheet9">
    <tabColor theme="3"/>
  </sheetPr>
  <dimension ref="A1:M46"/>
  <sheetViews>
    <sheetView topLeftCell="A19" workbookViewId="0">
      <selection activeCell="B48" sqref="B48"/>
    </sheetView>
  </sheetViews>
  <sheetFormatPr defaultRowHeight="14"/>
  <cols>
    <col min="1" max="1" width="26.75" bestFit="1" customWidth="1"/>
    <col min="4" max="8" width="12.25" customWidth="1"/>
  </cols>
  <sheetData>
    <row r="1" spans="1:13" s="18" customFormat="1">
      <c r="A1" s="15" t="s">
        <v>9</v>
      </c>
      <c r="B1" s="16"/>
      <c r="C1" s="16"/>
      <c r="D1" s="16"/>
      <c r="E1" s="16"/>
      <c r="F1" s="16"/>
      <c r="G1" s="16"/>
      <c r="H1" s="16"/>
      <c r="I1" s="16"/>
      <c r="J1" s="16"/>
      <c r="K1" s="16"/>
      <c r="L1" s="16"/>
      <c r="M1" s="17"/>
    </row>
    <row r="2" spans="1:13" s="18" customFormat="1" ht="18">
      <c r="A2" s="19" t="s">
        <v>16</v>
      </c>
      <c r="B2" s="20"/>
      <c r="C2" s="21"/>
      <c r="D2" s="20"/>
      <c r="E2" s="20"/>
      <c r="F2" s="20"/>
      <c r="G2" s="20"/>
      <c r="H2" s="20"/>
      <c r="I2" s="20"/>
      <c r="J2" s="20"/>
      <c r="K2" s="20"/>
      <c r="L2" s="20"/>
      <c r="M2" s="22"/>
    </row>
    <row r="4" spans="1:13">
      <c r="A4" s="28" t="s">
        <v>76</v>
      </c>
      <c r="B4" s="29"/>
      <c r="C4" s="29"/>
      <c r="D4" s="29"/>
      <c r="E4" s="29"/>
      <c r="F4" s="29"/>
      <c r="G4" s="29"/>
      <c r="H4" s="29"/>
    </row>
    <row r="5" spans="1:13">
      <c r="A5" s="30"/>
      <c r="B5" s="30"/>
      <c r="C5" s="30"/>
      <c r="D5" s="31"/>
      <c r="E5" s="31"/>
      <c r="F5" s="31"/>
      <c r="G5" s="31"/>
      <c r="H5" s="31"/>
    </row>
    <row r="6" spans="1:13">
      <c r="A6" s="30"/>
      <c r="B6" s="30"/>
      <c r="C6" s="30"/>
      <c r="D6" s="32">
        <v>2014</v>
      </c>
      <c r="E6" s="32">
        <v>2015</v>
      </c>
      <c r="F6" s="32">
        <v>2016</v>
      </c>
      <c r="G6" s="32">
        <v>2017</v>
      </c>
      <c r="H6" s="32">
        <v>2018</v>
      </c>
    </row>
    <row r="7" spans="1:13">
      <c r="A7" s="30"/>
      <c r="B7" s="30"/>
      <c r="C7" s="30"/>
      <c r="D7" s="33"/>
      <c r="E7" s="33"/>
      <c r="F7" s="33"/>
      <c r="G7" s="33"/>
      <c r="H7" s="33"/>
    </row>
    <row r="8" spans="1:13">
      <c r="A8" s="30" t="s">
        <v>45</v>
      </c>
      <c r="B8" s="30"/>
      <c r="C8" s="30"/>
      <c r="D8" s="34">
        <v>28413.537599999996</v>
      </c>
      <c r="E8" s="34">
        <v>74216.200493633907</v>
      </c>
      <c r="F8" s="34">
        <v>102016.03165539398</v>
      </c>
      <c r="G8" s="34">
        <v>116562.23707078592</v>
      </c>
      <c r="H8" s="34">
        <v>119940.55427574085</v>
      </c>
    </row>
    <row r="9" spans="1:13">
      <c r="A9" s="30" t="s">
        <v>46</v>
      </c>
      <c r="B9" s="30"/>
      <c r="C9" s="30"/>
      <c r="D9" s="34">
        <v>-65000</v>
      </c>
      <c r="E9" s="34">
        <v>-46700</v>
      </c>
      <c r="F9" s="34">
        <v>-49100</v>
      </c>
      <c r="G9" s="34">
        <v>-101000</v>
      </c>
      <c r="H9" s="34">
        <v>-121000</v>
      </c>
    </row>
    <row r="10" spans="1:13">
      <c r="A10" s="30" t="s">
        <v>47</v>
      </c>
      <c r="B10" s="30"/>
      <c r="C10" s="30"/>
      <c r="D10" s="35">
        <v>100000</v>
      </c>
      <c r="E10" s="35">
        <v>0</v>
      </c>
      <c r="F10" s="35">
        <v>-60000</v>
      </c>
      <c r="G10" s="35">
        <v>47800</v>
      </c>
      <c r="H10" s="35">
        <v>0</v>
      </c>
    </row>
    <row r="11" spans="1:13">
      <c r="A11" s="30" t="s">
        <v>48</v>
      </c>
      <c r="B11" s="30"/>
      <c r="C11" s="30"/>
      <c r="D11" s="36">
        <f>SUM(D8:D10)</f>
        <v>63413.537599999996</v>
      </c>
      <c r="E11" s="36">
        <f t="shared" ref="E11:H11" si="0">SUM(E8:E10)</f>
        <v>27516.200493633907</v>
      </c>
      <c r="F11" s="36">
        <f t="shared" si="0"/>
        <v>-7083.9683446060226</v>
      </c>
      <c r="G11" s="36">
        <f t="shared" si="0"/>
        <v>63362.237070785923</v>
      </c>
      <c r="H11" s="36">
        <f t="shared" si="0"/>
        <v>-1059.4457242591452</v>
      </c>
    </row>
    <row r="12" spans="1:13">
      <c r="A12" s="30" t="s">
        <v>49</v>
      </c>
      <c r="B12" s="30"/>
      <c r="C12" s="37">
        <v>0</v>
      </c>
      <c r="D12" s="38">
        <f>+C12+D11</f>
        <v>63413.537599999996</v>
      </c>
      <c r="E12" s="38">
        <f t="shared" ref="E12:H12" si="1">+D12+E11</f>
        <v>90929.738093633903</v>
      </c>
      <c r="F12" s="38">
        <f t="shared" si="1"/>
        <v>83845.769749027881</v>
      </c>
      <c r="G12" s="38">
        <f t="shared" si="1"/>
        <v>147208.0068198138</v>
      </c>
      <c r="H12" s="38">
        <f t="shared" si="1"/>
        <v>146148.56109555467</v>
      </c>
    </row>
    <row r="13" spans="1:13">
      <c r="A13" s="39"/>
      <c r="B13" s="30"/>
      <c r="C13" s="30"/>
      <c r="D13" s="30"/>
      <c r="E13" s="30"/>
      <c r="F13" s="30"/>
      <c r="G13" s="30"/>
      <c r="H13" s="30"/>
    </row>
    <row r="14" spans="1:13">
      <c r="A14" s="40" t="s">
        <v>50</v>
      </c>
      <c r="B14" s="30"/>
      <c r="C14" s="30"/>
      <c r="D14" s="41"/>
      <c r="E14" s="41"/>
      <c r="F14" s="41"/>
      <c r="G14" s="41"/>
      <c r="H14" s="41"/>
    </row>
    <row r="15" spans="1:13">
      <c r="A15" s="30" t="s">
        <v>51</v>
      </c>
      <c r="B15" s="30"/>
      <c r="C15" s="30"/>
      <c r="D15" s="42">
        <v>452316</v>
      </c>
      <c r="F15" s="43"/>
      <c r="G15" s="41"/>
      <c r="H15" s="30"/>
    </row>
    <row r="16" spans="1:13">
      <c r="A16" s="44" t="s">
        <v>52</v>
      </c>
      <c r="B16" s="30"/>
      <c r="C16" s="30"/>
      <c r="D16" s="42">
        <v>-170130</v>
      </c>
      <c r="E16" s="30"/>
      <c r="F16" s="30"/>
      <c r="G16" s="30"/>
      <c r="H16" s="30"/>
    </row>
    <row r="17" spans="1:8">
      <c r="A17" s="44" t="s">
        <v>53</v>
      </c>
      <c r="B17" s="30"/>
      <c r="C17" s="30"/>
      <c r="D17" s="42">
        <v>282186</v>
      </c>
      <c r="E17" s="30"/>
      <c r="F17" s="30"/>
      <c r="G17" s="30"/>
      <c r="H17" s="30"/>
    </row>
    <row r="18" spans="1:8">
      <c r="A18" s="30" t="s">
        <v>54</v>
      </c>
      <c r="B18" s="30"/>
      <c r="C18" s="30"/>
      <c r="D18" s="42">
        <v>-85735</v>
      </c>
      <c r="E18" s="41"/>
      <c r="F18" s="41"/>
      <c r="G18" s="41"/>
      <c r="H18" s="30"/>
    </row>
    <row r="19" spans="1:8">
      <c r="A19" s="30" t="s">
        <v>55</v>
      </c>
      <c r="B19" s="30"/>
      <c r="C19" s="30"/>
      <c r="D19" s="42">
        <v>-39236</v>
      </c>
      <c r="E19" s="41"/>
      <c r="F19" s="41"/>
      <c r="G19" s="41"/>
      <c r="H19" s="30"/>
    </row>
    <row r="20" spans="1:8">
      <c r="A20" s="30" t="s">
        <v>56</v>
      </c>
      <c r="B20" s="30"/>
      <c r="C20" s="30"/>
      <c r="D20" s="42">
        <v>-48241.35</v>
      </c>
      <c r="E20" s="41"/>
      <c r="F20" s="41"/>
      <c r="G20" s="41"/>
      <c r="H20" s="30"/>
    </row>
    <row r="21" spans="1:8">
      <c r="A21" s="30" t="s">
        <v>57</v>
      </c>
      <c r="B21" s="30"/>
      <c r="C21" s="30"/>
      <c r="D21" s="42">
        <v>-4500</v>
      </c>
      <c r="E21" s="41"/>
      <c r="F21" s="41"/>
      <c r="G21" s="41"/>
      <c r="H21" s="30"/>
    </row>
    <row r="22" spans="1:8">
      <c r="A22" s="30" t="s">
        <v>58</v>
      </c>
      <c r="B22" s="30"/>
      <c r="C22" s="30"/>
      <c r="D22" s="42">
        <v>-30292.995724259199</v>
      </c>
      <c r="E22" s="30"/>
      <c r="F22" s="30"/>
      <c r="G22" s="30"/>
      <c r="H22" s="30"/>
    </row>
    <row r="23" spans="1:8">
      <c r="A23" s="30" t="s">
        <v>59</v>
      </c>
      <c r="B23" s="30"/>
      <c r="C23" s="30"/>
      <c r="D23" s="42">
        <v>74180.654275740846</v>
      </c>
      <c r="E23" s="30"/>
      <c r="F23" s="30"/>
      <c r="G23" s="30"/>
      <c r="H23" s="30"/>
    </row>
    <row r="24" spans="1:8">
      <c r="A24" s="30"/>
      <c r="B24" s="30"/>
      <c r="C24" s="30"/>
      <c r="D24" s="30"/>
      <c r="E24" s="30"/>
      <c r="F24" s="30"/>
      <c r="G24" s="30"/>
      <c r="H24" s="30"/>
    </row>
    <row r="25" spans="1:8">
      <c r="A25" s="30"/>
      <c r="B25" s="30"/>
      <c r="C25" s="30"/>
      <c r="D25" s="30"/>
      <c r="E25" s="30"/>
      <c r="F25" s="30"/>
      <c r="G25" s="30"/>
      <c r="H25" s="30"/>
    </row>
    <row r="26" spans="1:8">
      <c r="A26" s="39" t="s">
        <v>60</v>
      </c>
      <c r="B26" s="30"/>
      <c r="C26" s="30"/>
      <c r="D26" s="30"/>
      <c r="E26" s="30"/>
      <c r="F26" s="30"/>
      <c r="G26" s="30"/>
      <c r="H26" s="30"/>
    </row>
    <row r="27" spans="1:8">
      <c r="A27" s="45" t="s">
        <v>61</v>
      </c>
      <c r="B27" s="46" t="s">
        <v>62</v>
      </c>
      <c r="C27" s="46" t="s">
        <v>63</v>
      </c>
      <c r="D27" s="46" t="s">
        <v>62</v>
      </c>
      <c r="E27" s="30"/>
      <c r="F27" s="30"/>
      <c r="G27" s="30"/>
      <c r="H27" s="30"/>
    </row>
    <row r="28" spans="1:8">
      <c r="A28" s="30"/>
      <c r="B28" s="47">
        <v>0</v>
      </c>
      <c r="C28" s="48">
        <v>0.74</v>
      </c>
      <c r="D28" s="47">
        <f>B28</f>
        <v>0</v>
      </c>
      <c r="E28" s="30"/>
      <c r="F28" s="30"/>
      <c r="G28" s="30"/>
      <c r="H28" s="30"/>
    </row>
    <row r="29" spans="1:8">
      <c r="A29" s="30" t="s">
        <v>64</v>
      </c>
      <c r="B29" s="48">
        <v>0.8</v>
      </c>
      <c r="C29" s="47">
        <f>IF(B29&gt;C28,B29-C28,0)</f>
        <v>6.0000000000000053E-2</v>
      </c>
      <c r="D29" s="47">
        <f t="shared" ref="D29:D31" si="2">B29</f>
        <v>0.8</v>
      </c>
      <c r="E29" s="30"/>
      <c r="F29" s="30"/>
      <c r="G29" s="30"/>
      <c r="H29" s="30"/>
    </row>
    <row r="30" spans="1:8">
      <c r="A30" s="30" t="s">
        <v>65</v>
      </c>
      <c r="B30" s="48">
        <v>0.1</v>
      </c>
      <c r="C30" s="47">
        <f>IF(SUM(B29:B30)&gt;SUM(C28:C29),SUM(B29:B30)-SUM(C28:C29),0)</f>
        <v>9.9999999999999978E-2</v>
      </c>
      <c r="D30" s="47">
        <f t="shared" si="2"/>
        <v>0.1</v>
      </c>
      <c r="E30" s="30"/>
      <c r="F30" s="30"/>
      <c r="G30" s="30"/>
      <c r="H30" s="30"/>
    </row>
    <row r="31" spans="1:8">
      <c r="A31" s="30" t="s">
        <v>66</v>
      </c>
      <c r="B31" s="49">
        <v>0.1</v>
      </c>
      <c r="C31" s="50">
        <f>IF(B32&gt;SUM(C28:C30),B32-SUM(C28:C30),0)</f>
        <v>9.9999999999999978E-2</v>
      </c>
      <c r="D31" s="50">
        <f t="shared" si="2"/>
        <v>0.1</v>
      </c>
      <c r="E31" s="30"/>
      <c r="F31" s="30"/>
      <c r="G31" s="30"/>
      <c r="H31" s="30"/>
    </row>
    <row r="32" spans="1:8">
      <c r="A32" s="30" t="s">
        <v>67</v>
      </c>
      <c r="B32" s="47">
        <f>SUM(B28:B31)</f>
        <v>1</v>
      </c>
      <c r="C32" s="47">
        <f>SUM(C28:C31)</f>
        <v>1</v>
      </c>
      <c r="D32" s="47">
        <f>SUM(D28:D31)</f>
        <v>1</v>
      </c>
      <c r="E32" s="30"/>
      <c r="F32" s="30"/>
      <c r="G32" s="30"/>
      <c r="H32" s="30"/>
    </row>
    <row r="33" spans="1:8">
      <c r="A33" s="30"/>
      <c r="B33" s="30"/>
      <c r="C33" s="30"/>
      <c r="D33" s="30"/>
      <c r="E33" s="30"/>
      <c r="F33" s="30"/>
      <c r="G33" s="30"/>
      <c r="H33" s="30"/>
    </row>
    <row r="34" spans="1:8">
      <c r="A34" s="45" t="s">
        <v>68</v>
      </c>
      <c r="B34" s="46" t="s">
        <v>62</v>
      </c>
      <c r="C34" s="46" t="s">
        <v>63</v>
      </c>
      <c r="D34" s="46" t="s">
        <v>62</v>
      </c>
      <c r="E34" s="30"/>
      <c r="F34" s="30"/>
      <c r="G34" s="30"/>
      <c r="H34" s="30"/>
    </row>
    <row r="35" spans="1:8">
      <c r="A35" s="30"/>
      <c r="B35" s="47">
        <v>0</v>
      </c>
      <c r="C35" s="48">
        <v>0.87</v>
      </c>
      <c r="D35" s="47">
        <f>B35</f>
        <v>0</v>
      </c>
      <c r="E35" s="30"/>
      <c r="F35" s="30"/>
      <c r="G35" s="30"/>
      <c r="H35" s="30"/>
    </row>
    <row r="36" spans="1:8">
      <c r="A36" s="30" t="s">
        <v>64</v>
      </c>
      <c r="B36" s="48">
        <v>0.8</v>
      </c>
      <c r="C36" s="47">
        <f>IF(B36&gt;C35,B36-C35,0)</f>
        <v>0</v>
      </c>
      <c r="D36" s="47">
        <f t="shared" ref="D36:D38" si="3">B36</f>
        <v>0.8</v>
      </c>
      <c r="E36" s="30"/>
      <c r="F36" s="30"/>
      <c r="G36" s="30"/>
      <c r="H36" s="30"/>
    </row>
    <row r="37" spans="1:8">
      <c r="A37" s="30" t="s">
        <v>65</v>
      </c>
      <c r="B37" s="48">
        <v>0.1</v>
      </c>
      <c r="C37" s="47">
        <f>IF(SUM(B36:B37)&gt;SUM(C35:C36),SUM(B36:B37)-SUM(C35:C36),0)</f>
        <v>3.0000000000000027E-2</v>
      </c>
      <c r="D37" s="47">
        <f t="shared" si="3"/>
        <v>0.1</v>
      </c>
      <c r="E37" s="30"/>
      <c r="F37" s="30"/>
      <c r="G37" s="30"/>
      <c r="H37" s="30"/>
    </row>
    <row r="38" spans="1:8">
      <c r="A38" s="30" t="s">
        <v>66</v>
      </c>
      <c r="B38" s="49">
        <v>0.1</v>
      </c>
      <c r="C38" s="50">
        <f>IF(B39&gt;SUM(C35:C37),B39-SUM(C35:C37),0)</f>
        <v>9.9999999999999978E-2</v>
      </c>
      <c r="D38" s="50">
        <f t="shared" si="3"/>
        <v>0.1</v>
      </c>
      <c r="E38" s="30"/>
      <c r="F38" s="30"/>
      <c r="G38" s="30"/>
      <c r="H38" s="30"/>
    </row>
    <row r="39" spans="1:8">
      <c r="A39" s="30" t="s">
        <v>67</v>
      </c>
      <c r="B39" s="47">
        <f>SUM(B35:B38)</f>
        <v>1</v>
      </c>
      <c r="C39" s="47">
        <f>SUM(C35:C38)</f>
        <v>1</v>
      </c>
      <c r="D39" s="47">
        <f>SUM(D35:D38)</f>
        <v>1</v>
      </c>
      <c r="E39" s="30"/>
      <c r="F39" s="30"/>
      <c r="G39" s="30"/>
      <c r="H39" s="30"/>
    </row>
    <row r="40" spans="1:8">
      <c r="A40" s="30"/>
      <c r="B40" s="30"/>
      <c r="C40" s="30"/>
      <c r="D40" s="30"/>
      <c r="E40" s="30"/>
      <c r="F40" s="30"/>
      <c r="G40" s="30"/>
      <c r="H40" s="30"/>
    </row>
    <row r="41" spans="1:8">
      <c r="A41" s="45" t="s">
        <v>69</v>
      </c>
      <c r="B41" s="46" t="s">
        <v>62</v>
      </c>
      <c r="C41" s="46" t="s">
        <v>63</v>
      </c>
      <c r="D41" s="46" t="s">
        <v>62</v>
      </c>
      <c r="E41" s="30"/>
      <c r="F41" s="30"/>
      <c r="G41" s="30"/>
      <c r="H41" s="30"/>
    </row>
    <row r="42" spans="1:8">
      <c r="A42" s="30"/>
      <c r="B42" s="47">
        <v>0</v>
      </c>
      <c r="C42" s="48">
        <v>0.79</v>
      </c>
      <c r="D42" s="47">
        <f>B42</f>
        <v>0</v>
      </c>
      <c r="E42" s="30"/>
      <c r="F42" s="30"/>
      <c r="G42" s="30"/>
      <c r="H42" s="30"/>
    </row>
    <row r="43" spans="1:8">
      <c r="A43" s="30" t="s">
        <v>64</v>
      </c>
      <c r="B43" s="48">
        <v>0.8</v>
      </c>
      <c r="C43" s="47">
        <f>IF(B43&gt;C42,B43-C42,0)</f>
        <v>1.0000000000000009E-2</v>
      </c>
      <c r="D43" s="47">
        <f t="shared" ref="D43:D45" si="4">B43</f>
        <v>0.8</v>
      </c>
      <c r="E43" s="30"/>
      <c r="F43" s="30"/>
      <c r="G43" s="30"/>
      <c r="H43" s="30"/>
    </row>
    <row r="44" spans="1:8">
      <c r="A44" s="30" t="s">
        <v>65</v>
      </c>
      <c r="B44" s="48">
        <v>0.1</v>
      </c>
      <c r="C44" s="47">
        <f>IF(SUM(B43:B44)&gt;SUM(C42:C43),SUM(B43:B44)-SUM(C42:C43),0)</f>
        <v>9.9999999999999978E-2</v>
      </c>
      <c r="D44" s="47">
        <f t="shared" si="4"/>
        <v>0.1</v>
      </c>
      <c r="E44" s="30"/>
      <c r="F44" s="30"/>
      <c r="G44" s="30"/>
      <c r="H44" s="30"/>
    </row>
    <row r="45" spans="1:8">
      <c r="A45" s="30" t="s">
        <v>66</v>
      </c>
      <c r="B45" s="49">
        <v>0.1</v>
      </c>
      <c r="C45" s="50">
        <f>IF(B46&gt;SUM(C42:C44),B46-SUM(C42:C44),0)</f>
        <v>9.9999999999999978E-2</v>
      </c>
      <c r="D45" s="50">
        <f t="shared" si="4"/>
        <v>0.1</v>
      </c>
      <c r="E45" s="30"/>
      <c r="F45" s="30"/>
      <c r="G45" s="30"/>
      <c r="H45" s="30"/>
    </row>
    <row r="46" spans="1:8">
      <c r="A46" s="30" t="s">
        <v>67</v>
      </c>
      <c r="B46" s="47">
        <f>SUM(B42:B45)</f>
        <v>1</v>
      </c>
      <c r="C46" s="47">
        <f>SUM(C42:C45)</f>
        <v>1</v>
      </c>
      <c r="D46" s="47">
        <f>SUM(D42:D45)</f>
        <v>1</v>
      </c>
      <c r="E46" s="30"/>
      <c r="F46" s="30"/>
      <c r="G46" s="30"/>
      <c r="H46" s="3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Header</vt:lpstr>
      <vt:lpstr>Task</vt:lpstr>
      <vt:lpstr>Settings</vt:lpstr>
      <vt:lpstr>AAA</vt:lpstr>
      <vt:lpstr>AAB</vt:lpstr>
      <vt:lpstr>ABC</vt:lpstr>
      <vt:lpstr>ABD</vt:lpstr>
      <vt:lpstr>BBB</vt:lpstr>
      <vt:lpstr>FFX</vt:lpstr>
      <vt:lpstr>HHF</vt:lpstr>
      <vt:lpstr>PPD</vt:lpstr>
      <vt:lpstr>SaveFilePath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Taylor</dc:creator>
  <cp:lastModifiedBy>Biting Xu (A)</cp:lastModifiedBy>
  <dcterms:created xsi:type="dcterms:W3CDTF">2021-04-24T04:35:40Z</dcterms:created>
  <dcterms:modified xsi:type="dcterms:W3CDTF">2023-09-18T15:32:44Z</dcterms:modified>
</cp:coreProperties>
</file>