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mc:AlternateContent xmlns:mc="http://schemas.openxmlformats.org/markup-compatibility/2006">
    <mc:Choice Requires="x15">
      <x15ac:absPath xmlns:x15ac="http://schemas.microsoft.com/office/spreadsheetml/2010/11/ac" url="D:\desktop\FMVA\800_VBA for financial\Exercises\"/>
    </mc:Choice>
  </mc:AlternateContent>
  <xr:revisionPtr revIDLastSave="0" documentId="13_ncr:1_{A9E70241-EDA0-4E60-A6C1-B5B391A85DB1}" xr6:coauthVersionLast="36" xr6:coauthVersionMax="46" xr10:uidLastSave="{00000000-0000-0000-0000-000000000000}"/>
  <bookViews>
    <workbookView xWindow="5600" yWindow="3710" windowWidth="8640" windowHeight="3020" firstSheet="1" activeTab="2" xr2:uid="{CEB6F358-CAF5-47DD-A011-4C233B92A43A}"/>
  </bookViews>
  <sheets>
    <sheet name="Header" sheetId="5" r:id="rId1"/>
    <sheet name="PerformingCalculations" sheetId="3" r:id="rId2"/>
    <sheet name="Rule of 72" sheetId="8" r:id="rId3"/>
    <sheet name="ExtractingText" sheetId="4" r:id="rId4"/>
    <sheet name="SummaryStats" sheetId="7" r:id="rId5"/>
  </sheets>
  <functionGroups builtInGroupCount="19"/>
  <externalReferences>
    <externalReference r:id="rId6"/>
  </externalReferences>
  <definedNames>
    <definedName name="SelectedReportingYear">[1]Settings!$C$2</definedName>
  </definedNames>
  <calcPr calcId="19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 i="7" l="1"/>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C9" i="7"/>
  <c r="D12" i="4"/>
  <c r="D28" i="4"/>
  <c r="D13" i="4"/>
  <c r="D29" i="4"/>
  <c r="D14" i="4"/>
  <c r="D30" i="4"/>
  <c r="D15" i="4"/>
  <c r="D31" i="4"/>
  <c r="D16" i="4"/>
  <c r="D32" i="4"/>
  <c r="D17" i="4"/>
  <c r="D33" i="4"/>
  <c r="D18" i="4"/>
  <c r="D34" i="4"/>
  <c r="D19" i="4"/>
  <c r="D20" i="4"/>
  <c r="D21" i="4"/>
  <c r="D22" i="4"/>
  <c r="D23" i="4"/>
  <c r="D24" i="4"/>
  <c r="D25" i="4"/>
  <c r="D26" i="4"/>
  <c r="D27" i="4"/>
  <c r="D11" i="4"/>
  <c r="C15" i="8"/>
  <c r="C13" i="8"/>
  <c r="C14" i="8"/>
  <c r="C12" i="8"/>
  <c r="C82" i="3"/>
</calcChain>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4">
    <s v="ThisWorkbookDataModel"/>
    <s v="[DimDate].[Year].&amp;[2018]"/>
    <s v="[DimDate].[Year].&amp;[2019]"/>
    <s v="[DimDate].[Year].&amp;[2020]"/>
    <s v="[Measures].[SumAmount]"/>
    <s v="[GLAccts].[GLAccnt_Name].&amp;[COGS]"/>
    <s v="#,0"/>
    <s v="[GLAccts].[GLAccnt_Name].&amp;[Direct Labour]"/>
    <s v="[GLAccts].[Category].&amp;[Operating Expenses]"/>
    <s v="[GLAccts].[Subcategory].&amp;[Employee Expenses]"/>
    <s v="[GLAccts].[Subcategory].&amp;[Property Expenses]"/>
    <s v="[GLAccts].[Subcategory].&amp;[Office Supplies]"/>
    <s v="[GLAccts].[Subcategory].&amp;[Bank Charges Expenses]"/>
    <s v="[GLAccts].[Subcategory].&amp;[Depreciation Expenses]"/>
    <s v="[GLAccts].[Subcategory].&amp;[Interest Expenses]"/>
    <s v="[GLAccts].[Subcategory].&amp;[Income Tax Expenses]"/>
    <s v="[Measures].[TTDAmount]"/>
    <s v="[GLAccts].[Category].&amp;[Current Assets]"/>
    <s v="[GLAccts].[Subcategory].&amp;[Cash]"/>
    <s v="[GLAccts].[Subcategory].&amp;[Trade Receivables]"/>
    <s v="[GLAccts].[Subcategory].&amp;[Inventory]"/>
    <s v="[GLAccts].[Category].&amp;[Non Current Assets]"/>
    <s v="[GLAccts].[Subcategory].&amp;[PPE]"/>
    <s v="[GLAccts].[Subcategory].&amp;[ROU Assets]"/>
  </metadataStrings>
  <mdxMetadata count="45">
    <mdx n="0" f="m">
      <t c="1">
        <n x="1"/>
      </t>
    </mdx>
    <mdx n="0" f="m">
      <t c="1">
        <n x="2"/>
      </t>
    </mdx>
    <mdx n="0" f="m">
      <t c="1">
        <n x="3"/>
      </t>
    </mdx>
    <mdx n="0" f="v">
      <t c="3" si="6">
        <n x="4"/>
        <n x="5"/>
        <n x="1"/>
      </t>
    </mdx>
    <mdx n="0" f="v">
      <t c="3" si="6">
        <n x="4"/>
        <n x="5"/>
        <n x="2"/>
      </t>
    </mdx>
    <mdx n="0" f="v">
      <t c="3" si="6">
        <n x="4"/>
        <n x="5"/>
        <n x="3"/>
      </t>
    </mdx>
    <mdx n="0" f="v">
      <t c="3" si="6">
        <n x="4"/>
        <n x="7"/>
        <n x="1"/>
      </t>
    </mdx>
    <mdx n="0" f="v">
      <t c="3" si="6">
        <n x="4"/>
        <n x="7"/>
        <n x="2"/>
      </t>
    </mdx>
    <mdx n="0" f="v">
      <t c="3" si="6">
        <n x="4"/>
        <n x="7"/>
        <n x="3"/>
      </t>
    </mdx>
    <mdx n="0" f="v">
      <t c="4" si="6">
        <n x="4"/>
        <n x="8"/>
        <n x="9"/>
        <n x="1"/>
      </t>
    </mdx>
    <mdx n="0" f="v">
      <t c="4" si="6">
        <n x="4"/>
        <n x="8"/>
        <n x="9"/>
        <n x="2"/>
      </t>
    </mdx>
    <mdx n="0" f="v">
      <t c="4" si="6">
        <n x="4"/>
        <n x="8"/>
        <n x="9"/>
        <n x="3"/>
      </t>
    </mdx>
    <mdx n="0" f="v">
      <t c="4" si="6">
        <n x="4"/>
        <n x="8"/>
        <n x="10"/>
        <n x="1"/>
      </t>
    </mdx>
    <mdx n="0" f="v">
      <t c="4" si="6">
        <n x="4"/>
        <n x="8"/>
        <n x="10"/>
        <n x="2"/>
      </t>
    </mdx>
    <mdx n="0" f="v">
      <t c="4" si="6">
        <n x="4"/>
        <n x="8"/>
        <n x="10"/>
        <n x="3"/>
      </t>
    </mdx>
    <mdx n="0" f="v">
      <t c="4" si="6">
        <n x="4"/>
        <n x="8"/>
        <n x="11"/>
        <n x="1"/>
      </t>
    </mdx>
    <mdx n="0" f="v">
      <t c="4" si="6">
        <n x="4"/>
        <n x="8"/>
        <n x="11"/>
        <n x="2"/>
      </t>
    </mdx>
    <mdx n="0" f="v">
      <t c="4" si="6">
        <n x="4"/>
        <n x="8"/>
        <n x="11"/>
        <n x="3"/>
      </t>
    </mdx>
    <mdx n="0" f="v">
      <t c="4" si="6">
        <n x="4"/>
        <n x="8"/>
        <n x="12"/>
        <n x="1"/>
      </t>
    </mdx>
    <mdx n="0" f="v">
      <t c="4" si="6">
        <n x="4"/>
        <n x="8"/>
        <n x="12"/>
        <n x="2"/>
      </t>
    </mdx>
    <mdx n="0" f="v">
      <t c="4" si="6">
        <n x="4"/>
        <n x="8"/>
        <n x="12"/>
        <n x="3"/>
      </t>
    </mdx>
    <mdx n="0" f="v">
      <t c="4" si="6">
        <n x="4"/>
        <n x="8"/>
        <n x="13"/>
        <n x="1"/>
      </t>
    </mdx>
    <mdx n="0" f="v">
      <t c="4" si="6">
        <n x="4"/>
        <n x="8"/>
        <n x="13"/>
        <n x="2"/>
      </t>
    </mdx>
    <mdx n="0" f="v">
      <t c="4" si="6">
        <n x="4"/>
        <n x="8"/>
        <n x="13"/>
        <n x="3"/>
      </t>
    </mdx>
    <mdx n="0" f="v">
      <t c="4" si="6">
        <n x="4"/>
        <n x="8"/>
        <n x="14"/>
        <n x="1"/>
      </t>
    </mdx>
    <mdx n="0" f="v">
      <t c="4" si="6">
        <n x="4"/>
        <n x="8"/>
        <n x="14"/>
        <n x="2"/>
      </t>
    </mdx>
    <mdx n="0" f="v">
      <t c="4" si="6">
        <n x="4"/>
        <n x="8"/>
        <n x="14"/>
        <n x="3"/>
      </t>
    </mdx>
    <mdx n="0" f="v">
      <t c="4" si="6">
        <n x="4"/>
        <n x="8"/>
        <n x="15"/>
        <n x="1"/>
      </t>
    </mdx>
    <mdx n="0" f="v">
      <t c="4" si="6">
        <n x="4"/>
        <n x="8"/>
        <n x="15"/>
        <n x="2"/>
      </t>
    </mdx>
    <mdx n="0" f="v">
      <t c="4" si="6">
        <n x="4"/>
        <n x="8"/>
        <n x="15"/>
        <n x="3"/>
      </t>
    </mdx>
    <mdx n="0" f="v">
      <t c="4" si="6">
        <n x="16"/>
        <n x="17"/>
        <n x="18"/>
        <n x="1"/>
      </t>
    </mdx>
    <mdx n="0" f="v">
      <t c="4" si="6">
        <n x="16"/>
        <n x="17"/>
        <n x="18"/>
        <n x="2"/>
      </t>
    </mdx>
    <mdx n="0" f="v">
      <t c="4" si="6">
        <n x="16"/>
        <n x="17"/>
        <n x="18"/>
        <n x="3"/>
      </t>
    </mdx>
    <mdx n="0" f="v">
      <t c="4" si="6">
        <n x="16"/>
        <n x="17"/>
        <n x="19"/>
        <n x="1"/>
      </t>
    </mdx>
    <mdx n="0" f="v">
      <t c="4" si="6">
        <n x="16"/>
        <n x="17"/>
        <n x="19"/>
        <n x="2"/>
      </t>
    </mdx>
    <mdx n="0" f="v">
      <t c="4" si="6">
        <n x="16"/>
        <n x="17"/>
        <n x="19"/>
        <n x="3"/>
      </t>
    </mdx>
    <mdx n="0" f="v">
      <t c="4" si="6">
        <n x="16"/>
        <n x="17"/>
        <n x="20"/>
        <n x="1"/>
      </t>
    </mdx>
    <mdx n="0" f="v">
      <t c="4" si="6">
        <n x="16"/>
        <n x="17"/>
        <n x="20"/>
        <n x="2"/>
      </t>
    </mdx>
    <mdx n="0" f="v">
      <t c="4" si="6">
        <n x="16"/>
        <n x="17"/>
        <n x="20"/>
        <n x="3"/>
      </t>
    </mdx>
    <mdx n="0" f="v">
      <t c="4" si="6">
        <n x="16"/>
        <n x="21"/>
        <n x="22"/>
        <n x="1"/>
      </t>
    </mdx>
    <mdx n="0" f="v">
      <t c="4" si="6">
        <n x="16"/>
        <n x="21"/>
        <n x="22"/>
        <n x="2"/>
      </t>
    </mdx>
    <mdx n="0" f="v">
      <t c="4" si="6">
        <n x="16"/>
        <n x="21"/>
        <n x="22"/>
        <n x="3"/>
      </t>
    </mdx>
    <mdx n="0" f="v">
      <t c="4" si="6">
        <n x="16"/>
        <n x="21"/>
        <n x="23"/>
        <n x="1"/>
      </t>
    </mdx>
    <mdx n="0" f="v">
      <t c="4" si="6">
        <n x="16"/>
        <n x="21"/>
        <n x="23"/>
        <n x="2"/>
      </t>
    </mdx>
    <mdx n="0" f="v">
      <t c="4" si="6">
        <n x="16"/>
        <n x="21"/>
        <n x="23"/>
        <n x="3"/>
      </t>
    </mdx>
  </mdxMetadata>
  <valueMetadata count="4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valueMetadata>
</metadata>
</file>

<file path=xl/sharedStrings.xml><?xml version="1.0" encoding="utf-8"?>
<sst xmlns="http://schemas.openxmlformats.org/spreadsheetml/2006/main" count="142" uniqueCount="133">
  <si>
    <t>© Corporate Finance Institute. All rights reserved.</t>
  </si>
  <si>
    <t>Income Statement</t>
  </si>
  <si>
    <t>Key</t>
  </si>
  <si>
    <t>BLACK on WHITE</t>
  </si>
  <si>
    <t>Formula</t>
  </si>
  <si>
    <t>Revenue</t>
  </si>
  <si>
    <t>BLUE on WHITE</t>
  </si>
  <si>
    <t>Hard coded</t>
  </si>
  <si>
    <t>Revenue Growth %</t>
  </si>
  <si>
    <t>Cost of Sales:</t>
  </si>
  <si>
    <t>COGS</t>
  </si>
  <si>
    <t>Direct Labour</t>
  </si>
  <si>
    <t>Total Cost of Sales</t>
  </si>
  <si>
    <t>Gross Profit $</t>
  </si>
  <si>
    <t>Gross Profit %</t>
  </si>
  <si>
    <t>Operating Expenses:</t>
  </si>
  <si>
    <t>Employee Expenses</t>
  </si>
  <si>
    <t>Property Expenses</t>
  </si>
  <si>
    <t>Office Supplies</t>
  </si>
  <si>
    <t>Bank Charges Expenses</t>
  </si>
  <si>
    <t>Total Operating Expenses</t>
  </si>
  <si>
    <t>EBITDA</t>
  </si>
  <si>
    <t>EBITDA %</t>
  </si>
  <si>
    <t>Depreciation Expenses</t>
  </si>
  <si>
    <t>Interest Expenses</t>
  </si>
  <si>
    <t>Earnings Before Tax</t>
  </si>
  <si>
    <t>Income Tax Expenses</t>
  </si>
  <si>
    <t>Net Income</t>
  </si>
  <si>
    <t>Balance Sheet</t>
  </si>
  <si>
    <t>Assets</t>
  </si>
  <si>
    <t>Current:</t>
  </si>
  <si>
    <t>Cash</t>
  </si>
  <si>
    <t>Trade Receivables</t>
  </si>
  <si>
    <t>Inventory</t>
  </si>
  <si>
    <t>Total Current Assets</t>
  </si>
  <si>
    <t>Non Current:</t>
  </si>
  <si>
    <t>PPE</t>
  </si>
  <si>
    <t>ROU Assets</t>
  </si>
  <si>
    <t>Total Non Current Assets</t>
  </si>
  <si>
    <t>Total Assets</t>
  </si>
  <si>
    <t>Liabilities and Shareholder Equity</t>
  </si>
  <si>
    <t>Liabilities</t>
  </si>
  <si>
    <t>Trade Payables</t>
  </si>
  <si>
    <t>Amounts Owed to Employees</t>
  </si>
  <si>
    <t>Taxes Payable</t>
  </si>
  <si>
    <t>Total Current Liabilities</t>
  </si>
  <si>
    <t>Finance Lease Liability</t>
  </si>
  <si>
    <t>Long-term debt</t>
  </si>
  <si>
    <t>Total Non Current Liabilities</t>
  </si>
  <si>
    <t>Total Liabilities</t>
  </si>
  <si>
    <t>Shareholder Equity</t>
  </si>
  <si>
    <t>Share Capital</t>
  </si>
  <si>
    <t>Retained Earnings</t>
  </si>
  <si>
    <t>Total Shareholder Equity</t>
  </si>
  <si>
    <t>Total Liabilities &amp; Shareholder Equity</t>
  </si>
  <si>
    <t>2018</t>
  </si>
  <si>
    <t>2019</t>
  </si>
  <si>
    <t>2020</t>
  </si>
  <si>
    <t>Transaction ID</t>
  </si>
  <si>
    <t>NX-TDH-118222-X62</t>
  </si>
  <si>
    <t>NX-YHD-118225-Y32</t>
  </si>
  <si>
    <t>Transaction Date</t>
  </si>
  <si>
    <t>Amount</t>
  </si>
  <si>
    <t>NX-TDH-118222-X63</t>
  </si>
  <si>
    <t>NX-YHD-118225-Y33</t>
  </si>
  <si>
    <t>NX-TDH-118222-X64</t>
  </si>
  <si>
    <t>NX-YHD-118225-Y34</t>
  </si>
  <si>
    <t>NX-YHD-118225-Y35</t>
  </si>
  <si>
    <t>NX-YHD-118225-Y36</t>
  </si>
  <si>
    <t>NX-YHD-118225-Y37</t>
  </si>
  <si>
    <t>NX-TDH-118222-X69</t>
  </si>
  <si>
    <t>NX-XSH-11332-X63</t>
  </si>
  <si>
    <t>NX-TDH-2993821-X64</t>
  </si>
  <si>
    <t>NX-YHD-118223-Y34</t>
  </si>
  <si>
    <t>ZX-TDH-118222-Z65</t>
  </si>
  <si>
    <t>TX-YHD-1211-Y33</t>
  </si>
  <si>
    <t>NX-XSH-11332-X64</t>
  </si>
  <si>
    <t>TX-YHD-1211-Y34</t>
  </si>
  <si>
    <t>NX-TDH-2993821-X65</t>
  </si>
  <si>
    <t>ZX-TDH-118222-Z66</t>
  </si>
  <si>
    <t>NX-XSH-11332-X65</t>
  </si>
  <si>
    <t>TX-YHD-1211-Y35</t>
  </si>
  <si>
    <t>NX-TDH-2993821-X66</t>
  </si>
  <si>
    <t>NX-YHD-118223-Y36</t>
  </si>
  <si>
    <t>ZX-TDH-118222-Z67</t>
  </si>
  <si>
    <t>1) A two character origination code</t>
  </si>
  <si>
    <t>2) A two or three character destination code</t>
  </si>
  <si>
    <t>3) A variable length transaction code</t>
  </si>
  <si>
    <t>4) A 3 letter system varibable of unknown use</t>
  </si>
  <si>
    <t>Transaction Code</t>
  </si>
  <si>
    <t>Notes</t>
  </si>
  <si>
    <t>All content is Copyright material of CFI Education Inc.</t>
  </si>
  <si>
    <t>https://corporatefinanceinstitute.com/</t>
  </si>
  <si>
    <t>© 2019 CFI Education Inc.</t>
  </si>
  <si>
    <t>All rights reserved.  The contents of this publication, including but not limited to all written material, content layout, images, formulas, and code, are protected under international copyright and trademark laws. No part of this publication may be modified, manipulated, reproduced, distributed, or transmitted in any form by any means, including photocopying, recording, or other electronic or mechanical methods, without prior written permission of the publisher, except in the case of certain noncommercial uses permitted by copyright law.</t>
  </si>
  <si>
    <t>VBA Fundamentals - Custom Formulas Exercises</t>
  </si>
  <si>
    <t>This Excel VBA model is for educational purposes only and should not be used for any other reason.</t>
  </si>
  <si>
    <t>Contents</t>
  </si>
  <si>
    <t>The contents of this workbook will be used to give students an opportunity to practice building custom formulas in VBA.</t>
  </si>
  <si>
    <t>It should calculate the approximate time it will take an amount of money to double, given an annualized interest rate of x%.</t>
  </si>
  <si>
    <t>Create a User Defined Function (UDF) in VBA for the rule of 72.</t>
  </si>
  <si>
    <t>YearsToDouble = 72 / (AnnualizedInterestRate * 100)</t>
  </si>
  <si>
    <t>InterestRate</t>
  </si>
  <si>
    <t>Approx Years x2</t>
  </si>
  <si>
    <t>VBA User Defined Functions for Custom Calculations</t>
  </si>
  <si>
    <t>Cash Ratio</t>
  </si>
  <si>
    <t>VBA User Defined Functions for Summary Statistics</t>
  </si>
  <si>
    <t>List of Numbers</t>
  </si>
  <si>
    <t>VBA User Defined Functions for Manipulating Text</t>
  </si>
  <si>
    <t>Profit Ratios</t>
  </si>
  <si>
    <t>TIP 2: Read through the StatsSummary function to get a sense of what is being done.</t>
  </si>
  <si>
    <t>TIP 1: Use CTRL SHIFT A to reveal the required arguments of a function.</t>
  </si>
  <si>
    <t>Cash Ratio: = Cash / Current Liabilities</t>
  </si>
  <si>
    <t>Task 2:Time to Double Calculation</t>
  </si>
  <si>
    <t>Task 4: Use the summary stats custom formula to analyze the list of numbers below.</t>
  </si>
  <si>
    <t>Task 1: Create the following custom function in VBA</t>
  </si>
  <si>
    <t>Use the cash ratio formula here</t>
  </si>
  <si>
    <t>Task 3: Transaction IDs are made up of four parts. We need to extract the 3rd element.</t>
  </si>
  <si>
    <t>Mode: 0</t>
  </si>
  <si>
    <t>Top5</t>
  </si>
  <si>
    <t>Bottom5</t>
  </si>
  <si>
    <t>Mean: 47.76</t>
  </si>
  <si>
    <t>Median: 45.75</t>
  </si>
  <si>
    <t>Min: 0.73</t>
  </si>
  <si>
    <t>Max: 97.9</t>
  </si>
  <si>
    <t>1. 97.90</t>
  </si>
  <si>
    <t>2. 96.92</t>
  </si>
  <si>
    <t>3. 96.01</t>
  </si>
  <si>
    <t>4. 95.95</t>
  </si>
  <si>
    <t>1. 0.73</t>
  </si>
  <si>
    <t>2. 1.73</t>
  </si>
  <si>
    <t>3. 2.87</t>
  </si>
  <si>
    <t>4. 3.23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</si>
</sst>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32">
    <font>
      <sz val="11"/>
      <color theme="1"/>
      <name val="Arial"/>
      <family val="2"/>
      <scheme val="minor"/>
    </font>
    <font>
      <sz val="11"/>
      <color theme="1"/>
      <name val="Arial"/>
      <family val="2"/>
      <scheme val="minor"/>
    </font>
    <font>
      <b/>
      <sz val="11"/>
      <color theme="1"/>
      <name val="Arial"/>
      <family val="2"/>
      <scheme val="minor"/>
    </font>
    <font>
      <b/>
      <sz val="11"/>
      <color theme="3"/>
      <name val="Arial"/>
      <family val="2"/>
      <scheme val="minor"/>
    </font>
    <font>
      <sz val="8"/>
      <color theme="0"/>
      <name val="Arial Narrow"/>
      <family val="2"/>
    </font>
    <font>
      <sz val="11"/>
      <color theme="0"/>
      <name val="Arial Narrow"/>
      <family val="2"/>
    </font>
    <font>
      <sz val="11"/>
      <color theme="1"/>
      <name val="Arial Narrow"/>
      <family val="2"/>
    </font>
    <font>
      <b/>
      <sz val="14"/>
      <color rgb="FFFFFFFF"/>
      <name val="Arial Narrow"/>
      <family val="2"/>
    </font>
    <font>
      <b/>
      <sz val="11"/>
      <color rgb="FFFFFFFF"/>
      <name val="Arial Narrow"/>
      <family val="2"/>
    </font>
    <font>
      <sz val="11"/>
      <color rgb="FFFFFFFF"/>
      <name val="Arial Narrow"/>
      <family val="2"/>
    </font>
    <font>
      <b/>
      <sz val="12"/>
      <color theme="0"/>
      <name val="Arial Narrow"/>
      <family val="2"/>
    </font>
    <font>
      <sz val="12"/>
      <color theme="0"/>
      <name val="Arial Narrow"/>
      <family val="2"/>
    </font>
    <font>
      <sz val="11"/>
      <color theme="1" tint="0.14999847407452621"/>
      <name val="Arial"/>
      <family val="2"/>
      <scheme val="minor"/>
    </font>
    <font>
      <b/>
      <sz val="11"/>
      <color theme="1" tint="0.14999847407452621"/>
      <name val="Arial"/>
      <family val="2"/>
      <scheme val="minor"/>
    </font>
    <font>
      <sz val="11"/>
      <color rgb="FF0070C0"/>
      <name val="Arial"/>
      <family val="2"/>
      <scheme val="minor"/>
    </font>
    <font>
      <i/>
      <sz val="11"/>
      <color theme="0" tint="-0.499984740745262"/>
      <name val="Arial"/>
      <family val="2"/>
      <scheme val="minor"/>
    </font>
    <font>
      <sz val="11"/>
      <color theme="0" tint="-0.499984740745262"/>
      <name val="Arial"/>
      <family val="2"/>
      <scheme val="minor"/>
    </font>
    <font>
      <sz val="11"/>
      <name val="Arial"/>
      <family val="2"/>
      <scheme val="minor"/>
    </font>
    <font>
      <sz val="8"/>
      <name val="Arial"/>
      <family val="2"/>
      <scheme val="minor"/>
    </font>
    <font>
      <u/>
      <sz val="10"/>
      <color theme="10"/>
      <name val="Arial"/>
      <family val="2"/>
    </font>
    <font>
      <sz val="11"/>
      <color theme="1"/>
      <name val="Calabri"/>
    </font>
    <font>
      <b/>
      <sz val="22"/>
      <color theme="1"/>
      <name val="Calabri"/>
    </font>
    <font>
      <b/>
      <sz val="11"/>
      <color theme="1"/>
      <name val="Calabri"/>
    </font>
    <font>
      <b/>
      <sz val="15"/>
      <color theme="1"/>
      <name val="Calabri"/>
    </font>
    <font>
      <sz val="12"/>
      <color theme="1"/>
      <name val="Calabri"/>
    </font>
    <font>
      <u/>
      <sz val="12"/>
      <color theme="1"/>
      <name val="Calabri"/>
    </font>
    <font>
      <sz val="11"/>
      <color theme="0"/>
      <name val="Calabri"/>
    </font>
    <font>
      <sz val="12"/>
      <color theme="0"/>
      <name val="Calabri"/>
    </font>
    <font>
      <sz val="14"/>
      <color rgb="FFFFFFFF"/>
      <name val="Arial Narrow"/>
      <family val="2"/>
    </font>
    <font>
      <sz val="14"/>
      <color theme="1"/>
      <name val="Arial Narrow"/>
      <family val="2"/>
    </font>
    <font>
      <b/>
      <sz val="11"/>
      <color theme="1"/>
      <name val="Arial Narrow"/>
      <family val="2"/>
    </font>
    <font>
      <b/>
      <sz val="11"/>
      <color theme="7"/>
      <name val="Arial"/>
      <family val="2"/>
      <scheme val="minor"/>
    </font>
  </fonts>
  <fills count="8">
    <fill>
      <patternFill patternType="none"/>
    </fill>
    <fill>
      <patternFill patternType="gray125"/>
    </fill>
    <fill>
      <patternFill patternType="solid">
        <fgColor rgb="FF132E57"/>
        <bgColor indexed="64"/>
      </patternFill>
    </fill>
    <fill>
      <patternFill patternType="solid">
        <fgColor theme="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rgb="FF255BAC"/>
        <bgColor indexed="64"/>
      </patternFill>
    </fill>
  </fills>
  <borders count="4">
    <border>
      <left/>
      <right/>
      <top/>
      <bottom/>
      <diagonal/>
    </border>
    <border>
      <left/>
      <right/>
      <top style="thin">
        <color auto="1"/>
      </top>
      <bottom/>
      <diagonal/>
    </border>
    <border>
      <left/>
      <right/>
      <top style="thick">
        <color indexed="64"/>
      </top>
      <bottom/>
      <diagonal/>
    </border>
    <border>
      <left/>
      <right/>
      <top/>
      <bottom style="thin">
        <color indexed="64"/>
      </bottom>
      <diagonal/>
    </border>
  </borders>
  <cellStyleXfs count="5">
    <xf numFmtId="0" fontId="0" fillId="0" borderId="0"/>
    <xf numFmtId="0" fontId="1" fillId="0" borderId="0"/>
    <xf numFmtId="164"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cellStyleXfs>
  <cellXfs count="80">
    <xf numFmtId="0" fontId="0" fillId="0" borderId="0" xfId="0"/>
    <xf numFmtId="0" fontId="2" fillId="0" borderId="0" xfId="0" applyFont="1"/>
    <xf numFmtId="37" fontId="4" fillId="2" borderId="0" xfId="1" applyNumberFormat="1" applyFont="1" applyFill="1" applyAlignment="1">
      <alignment vertical="top"/>
    </xf>
    <xf numFmtId="37" fontId="5" fillId="2" borderId="0" xfId="1" applyNumberFormat="1" applyFont="1" applyFill="1" applyAlignment="1">
      <alignment vertical="top"/>
    </xf>
    <xf numFmtId="37" fontId="5" fillId="2" borderId="0" xfId="1" applyNumberFormat="1" applyFont="1" applyFill="1" applyAlignment="1">
      <alignment horizontal="right" vertical="top"/>
    </xf>
    <xf numFmtId="0" fontId="6" fillId="0" borderId="0" xfId="1" applyFont="1"/>
    <xf numFmtId="0" fontId="7" fillId="2" borderId="0" xfId="1" applyFont="1" applyFill="1" applyAlignment="1">
      <alignment horizontal="left" vertical="center" readingOrder="1"/>
    </xf>
    <xf numFmtId="0" fontId="8" fillId="2" borderId="0" xfId="1" applyFont="1" applyFill="1" applyAlignment="1">
      <alignment horizontal="left" vertical="center" readingOrder="1"/>
    </xf>
    <xf numFmtId="0" fontId="9" fillId="2" borderId="0" xfId="1" applyFont="1" applyFill="1" applyAlignment="1">
      <alignment horizontal="left" vertical="center" readingOrder="1"/>
    </xf>
    <xf numFmtId="0" fontId="8" fillId="2" borderId="0" xfId="1" applyFont="1" applyFill="1" applyAlignment="1">
      <alignment horizontal="right" vertical="center" readingOrder="1"/>
    </xf>
    <xf numFmtId="0" fontId="10" fillId="3" borderId="0" xfId="1" applyFont="1" applyFill="1"/>
    <xf numFmtId="0" fontId="11" fillId="3" borderId="0" xfId="1" applyFont="1" applyFill="1"/>
    <xf numFmtId="0" fontId="10" fillId="3" borderId="0" xfId="1" applyFont="1" applyFill="1" applyAlignment="1">
      <alignment horizontal="right"/>
    </xf>
    <xf numFmtId="0" fontId="12" fillId="0" borderId="0" xfId="0" applyFont="1"/>
    <xf numFmtId="165" fontId="13" fillId="0" borderId="0" xfId="2" applyNumberFormat="1" applyFont="1" applyAlignment="1">
      <alignment horizontal="right"/>
    </xf>
    <xf numFmtId="0" fontId="0" fillId="0" borderId="0" xfId="0" applyAlignment="1">
      <alignment horizontal="right"/>
    </xf>
    <xf numFmtId="0" fontId="13" fillId="0" borderId="0" xfId="0" applyFont="1"/>
    <xf numFmtId="165" fontId="12" fillId="0" borderId="0" xfId="2" applyNumberFormat="1" applyFont="1"/>
    <xf numFmtId="0" fontId="14" fillId="0" borderId="0" xfId="0" applyFont="1" applyAlignment="1">
      <alignment horizontal="right"/>
    </xf>
    <xf numFmtId="0" fontId="15" fillId="0" borderId="0" xfId="0" applyFont="1" applyAlignment="1">
      <alignment horizontal="left"/>
    </xf>
    <xf numFmtId="165" fontId="15" fillId="0" borderId="0" xfId="2" applyNumberFormat="1" applyFont="1"/>
    <xf numFmtId="166" fontId="15" fillId="0" borderId="0" xfId="3" applyNumberFormat="1" applyFont="1"/>
    <xf numFmtId="165" fontId="0" fillId="0" borderId="0" xfId="2" applyNumberFormat="1" applyFont="1"/>
    <xf numFmtId="0" fontId="16" fillId="0" borderId="0" xfId="0" applyFont="1" applyAlignment="1">
      <alignment horizontal="left"/>
    </xf>
    <xf numFmtId="165" fontId="16" fillId="0" borderId="0" xfId="2" applyNumberFormat="1" applyFont="1"/>
    <xf numFmtId="0" fontId="17" fillId="0" borderId="0" xfId="0" applyFont="1" applyAlignment="1">
      <alignment horizontal="left"/>
    </xf>
    <xf numFmtId="165" fontId="12" fillId="0" borderId="1" xfId="0" applyNumberFormat="1" applyFont="1" applyBorder="1"/>
    <xf numFmtId="0" fontId="13" fillId="0" borderId="2" xfId="0" applyFont="1" applyBorder="1"/>
    <xf numFmtId="165" fontId="12" fillId="0" borderId="2" xfId="0" applyNumberFormat="1" applyFont="1" applyBorder="1"/>
    <xf numFmtId="0" fontId="15" fillId="0" borderId="0" xfId="0" applyFont="1"/>
    <xf numFmtId="0" fontId="13" fillId="0" borderId="0" xfId="0" applyFont="1" applyAlignment="1">
      <alignment horizontal="left"/>
    </xf>
    <xf numFmtId="0" fontId="12" fillId="0" borderId="0" xfId="0" applyFont="1" applyAlignment="1">
      <alignment horizontal="left"/>
    </xf>
    <xf numFmtId="0" fontId="13" fillId="0" borderId="2" xfId="0" applyFont="1" applyBorder="1" applyAlignment="1">
      <alignment horizontal="left"/>
    </xf>
    <xf numFmtId="165" fontId="12" fillId="0" borderId="0" xfId="0" applyNumberFormat="1" applyFont="1"/>
    <xf numFmtId="0" fontId="2" fillId="0" borderId="0" xfId="0" applyFont="1" applyAlignment="1">
      <alignment horizontal="left"/>
    </xf>
    <xf numFmtId="165" fontId="13" fillId="0" borderId="2" xfId="0" applyNumberFormat="1" applyFont="1" applyBorder="1"/>
    <xf numFmtId="165" fontId="0" fillId="0" borderId="0" xfId="0" applyNumberFormat="1"/>
    <xf numFmtId="0" fontId="13" fillId="4" borderId="0" xfId="0" applyFont="1" applyFill="1"/>
    <xf numFmtId="165" fontId="12" fillId="4" borderId="0" xfId="0" applyNumberFormat="1" applyFont="1" applyFill="1" applyAlignment="1">
      <alignment horizontal="right"/>
    </xf>
    <xf numFmtId="165" fontId="12" fillId="0" borderId="1" xfId="2" applyNumberFormat="1" applyFont="1" applyBorder="1"/>
    <xf numFmtId="165" fontId="13" fillId="0" borderId="2" xfId="2" applyNumberFormat="1" applyFont="1" applyBorder="1"/>
    <xf numFmtId="0" fontId="2" fillId="4" borderId="0" xfId="0" applyFont="1" applyFill="1"/>
    <xf numFmtId="0" fontId="2" fillId="5" borderId="0" xfId="0" applyFont="1" applyFill="1"/>
    <xf numFmtId="165" fontId="0" fillId="5" borderId="0" xfId="0" applyNumberFormat="1" applyFill="1" applyAlignment="1">
      <alignment horizontal="right"/>
    </xf>
    <xf numFmtId="0" fontId="0" fillId="5" borderId="0" xfId="0" applyFill="1"/>
    <xf numFmtId="14" fontId="0" fillId="0" borderId="0" xfId="0" applyNumberFormat="1"/>
    <xf numFmtId="0" fontId="3" fillId="0" borderId="0" xfId="0" applyFont="1"/>
    <xf numFmtId="0" fontId="20" fillId="6" borderId="0" xfId="0" applyFont="1" applyFill="1"/>
    <xf numFmtId="0" fontId="20" fillId="7" borderId="0" xfId="0" applyFont="1" applyFill="1"/>
    <xf numFmtId="0" fontId="21" fillId="6" borderId="0" xfId="0" applyFont="1" applyFill="1"/>
    <xf numFmtId="0" fontId="22" fillId="0" borderId="0" xfId="1" applyFont="1" applyAlignment="1">
      <alignment horizontal="right"/>
    </xf>
    <xf numFmtId="0" fontId="23" fillId="0" borderId="3" xfId="1" applyFont="1" applyBorder="1" applyProtection="1">
      <protection locked="0"/>
    </xf>
    <xf numFmtId="0" fontId="20" fillId="6" borderId="3" xfId="0" applyFont="1" applyFill="1" applyBorder="1"/>
    <xf numFmtId="0" fontId="24" fillId="6" borderId="0" xfId="0" applyFont="1" applyFill="1"/>
    <xf numFmtId="0" fontId="24" fillId="0" borderId="0" xfId="1" applyFont="1"/>
    <xf numFmtId="0" fontId="24" fillId="0" borderId="1" xfId="1" applyFont="1" applyBorder="1"/>
    <xf numFmtId="0" fontId="25" fillId="0" borderId="0" xfId="4" applyFont="1" applyFill="1" applyBorder="1"/>
    <xf numFmtId="0" fontId="26" fillId="2" borderId="0" xfId="1" applyFont="1" applyFill="1"/>
    <xf numFmtId="0" fontId="20" fillId="2" borderId="0" xfId="1" applyFont="1" applyFill="1"/>
    <xf numFmtId="0" fontId="20" fillId="2" borderId="0" xfId="0" applyFont="1" applyFill="1"/>
    <xf numFmtId="10" fontId="0" fillId="0" borderId="0" xfId="0" applyNumberFormat="1"/>
    <xf numFmtId="0" fontId="2" fillId="0" borderId="0" xfId="0" applyFont="1" applyAlignment="1">
      <alignment horizontal="right"/>
    </xf>
    <xf numFmtId="165" fontId="2" fillId="0" borderId="0" xfId="0" applyNumberFormat="1" applyFont="1" applyAlignment="1">
      <alignment horizontal="right"/>
    </xf>
    <xf numFmtId="0" fontId="6" fillId="0" borderId="0" xfId="0" applyFont="1"/>
    <xf numFmtId="0" fontId="6" fillId="0" borderId="0" xfId="0" applyFont="1" applyAlignment="1">
      <alignment horizontal="right"/>
    </xf>
    <xf numFmtId="0" fontId="30" fillId="0" borderId="0" xfId="0" applyFont="1"/>
    <xf numFmtId="0" fontId="6" fillId="0" borderId="0" xfId="0" quotePrefix="1" applyFont="1"/>
    <xf numFmtId="0" fontId="31" fillId="0" borderId="0" xfId="0" applyFont="1"/>
    <xf numFmtId="37" fontId="4" fillId="0" borderId="0" xfId="1" applyNumberFormat="1" applyFont="1" applyFill="1" applyAlignment="1">
      <alignment vertical="top"/>
    </xf>
    <xf numFmtId="37" fontId="5" fillId="0" borderId="0" xfId="1" applyNumberFormat="1" applyFont="1" applyFill="1" applyAlignment="1">
      <alignment vertical="top"/>
    </xf>
    <xf numFmtId="37" fontId="5" fillId="0" borderId="0" xfId="1" applyNumberFormat="1" applyFont="1" applyFill="1" applyAlignment="1">
      <alignment horizontal="right" vertical="top"/>
    </xf>
    <xf numFmtId="0" fontId="6" fillId="0" borderId="0" xfId="1" applyFont="1" applyFill="1"/>
    <xf numFmtId="0" fontId="7" fillId="0" borderId="0" xfId="1" applyFont="1" applyFill="1" applyAlignment="1">
      <alignment horizontal="left" vertical="center" readingOrder="1"/>
    </xf>
    <xf numFmtId="0" fontId="8" fillId="0" borderId="0" xfId="1" applyFont="1" applyFill="1" applyAlignment="1">
      <alignment horizontal="left" vertical="center" readingOrder="1"/>
    </xf>
    <xf numFmtId="0" fontId="9" fillId="0" borderId="0" xfId="1" applyFont="1" applyFill="1" applyAlignment="1">
      <alignment horizontal="left" vertical="center" readingOrder="1"/>
    </xf>
    <xf numFmtId="0" fontId="8" fillId="0" borderId="0" xfId="1" applyFont="1" applyFill="1" applyAlignment="1">
      <alignment horizontal="right" vertical="center" readingOrder="1"/>
    </xf>
    <xf numFmtId="0" fontId="28" fillId="0" borderId="0" xfId="1" applyFont="1" applyFill="1" applyAlignment="1">
      <alignment horizontal="left" vertical="center" readingOrder="1"/>
    </xf>
    <xf numFmtId="0" fontId="7" fillId="0" borderId="0" xfId="1" applyFont="1" applyFill="1" applyAlignment="1">
      <alignment horizontal="right" vertical="center" readingOrder="1"/>
    </xf>
    <xf numFmtId="0" fontId="29" fillId="0" borderId="0" xfId="1" applyFont="1" applyFill="1"/>
    <xf numFmtId="0" fontId="27" fillId="2" borderId="0" xfId="1" applyFont="1" applyFill="1" applyAlignment="1">
      <alignment horizontal="left" vertical="center" wrapText="1"/>
    </xf>
  </cellXfs>
  <cellStyles count="5">
    <cellStyle name="Comma" xfId="2" builtinId="3"/>
    <cellStyle name="Hyperlink 2 2" xfId="4" xr:uid="{3959AA91-3617-413D-8F4F-4E05A874DEC8}"/>
    <cellStyle name="Normal" xfId="0" builtinId="0"/>
    <cellStyle name="Normal 2 2 2" xfId="1" xr:uid="{6431FECD-C2CD-494A-8B83-55597FBE989D}"/>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xdr:colOff>
      <xdr:row>4</xdr:row>
      <xdr:rowOff>1</xdr:rowOff>
    </xdr:from>
    <xdr:to>
      <xdr:col>5</xdr:col>
      <xdr:colOff>21771</xdr:colOff>
      <xdr:row>8</xdr:row>
      <xdr:rowOff>81644</xdr:rowOff>
    </xdr:to>
    <xdr:pic>
      <xdr:nvPicPr>
        <xdr:cNvPr id="2" name="Picture 1">
          <a:extLst>
            <a:ext uri="{FF2B5EF4-FFF2-40B4-BE49-F238E27FC236}">
              <a16:creationId xmlns:a16="http://schemas.microsoft.com/office/drawing/2014/main" id="{7127DEB3-35B7-4018-8FDD-ED4516FD73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4644" y="696687"/>
          <a:ext cx="2509156" cy="7783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hared%20drives\BIDA%20(External)\Course%20Ideas\Cube%20Formulas\CubeExamp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PAGE"/>
      <sheetName val="Examples for Slides"/>
      <sheetName val="Test"/>
      <sheetName val="Josephs Test Sheet"/>
      <sheetName val="CUBE STATEMENT"/>
      <sheetName val="Sheet3"/>
      <sheetName val="Settings"/>
      <sheetName val="COLORS"/>
    </sheetNames>
    <sheetDataSet>
      <sheetData sheetId="0"/>
      <sheetData sheetId="1"/>
      <sheetData sheetId="2"/>
      <sheetData sheetId="3"/>
      <sheetData sheetId="4"/>
      <sheetData sheetId="5"/>
      <sheetData sheetId="6">
        <row r="2">
          <cell r="C2">
            <v>2020</v>
          </cell>
        </row>
      </sheetData>
      <sheetData sheetId="7"/>
    </sheetDataSet>
  </externalBook>
</externalLink>
</file>

<file path=xl/theme/theme1.xml><?xml version="1.0" encoding="utf-8"?>
<a:theme xmlns:a="http://schemas.openxmlformats.org/drawingml/2006/main" name="CFI Power Point Theme 2021-03-22">
  <a:themeElements>
    <a:clrScheme name="CFI">
      <a:dk1>
        <a:srgbClr val="57595D"/>
      </a:dk1>
      <a:lt1>
        <a:srgbClr val="FFFFFF"/>
      </a:lt1>
      <a:dk2>
        <a:srgbClr val="3271D2"/>
      </a:dk2>
      <a:lt2>
        <a:srgbClr val="132E57"/>
      </a:lt2>
      <a:accent1>
        <a:srgbClr val="25A2AF"/>
      </a:accent1>
      <a:accent2>
        <a:srgbClr val="1F995B"/>
      </a:accent2>
      <a:accent3>
        <a:srgbClr val="ED942D"/>
      </a:accent3>
      <a:accent4>
        <a:srgbClr val="FA621C"/>
      </a:accent4>
      <a:accent5>
        <a:srgbClr val="B7276E"/>
      </a:accent5>
      <a:accent6>
        <a:srgbClr val="5A1973"/>
      </a:accent6>
      <a:hlink>
        <a:srgbClr val="3271D2"/>
      </a:hlink>
      <a:folHlink>
        <a:srgbClr val="3271D2"/>
      </a:folHlink>
    </a:clrScheme>
    <a:fontScheme name="Office">
      <a:majorFont>
        <a:latin typeface="Arial"/>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FI Power Point Theme 2021-03-22" id="{8B02B856-74F7-4D85-ACD4-63632CEB4183}" vid="{FED33E97-0C10-45E7-86F0-D83C74411110}"/>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orporatefinanceinstitute.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FDFFC-F9EE-4C83-8697-AB6AD522CF9D}">
  <sheetPr codeName="Sheet3"/>
  <dimension ref="B2:Q41"/>
  <sheetViews>
    <sheetView zoomScale="70" zoomScaleNormal="70" workbookViewId="0">
      <selection activeCell="K12" sqref="K12"/>
    </sheetView>
  </sheetViews>
  <sheetFormatPr defaultColWidth="10.75" defaultRowHeight="14"/>
  <cols>
    <col min="1" max="1" width="4.5" style="48" customWidth="1"/>
    <col min="2" max="2" width="10.75" style="48"/>
    <col min="3" max="3" width="9.5" style="48" customWidth="1"/>
    <col min="4" max="16384" width="10.75" style="48"/>
  </cols>
  <sheetData>
    <row r="2" spans="2:17">
      <c r="B2" s="47"/>
      <c r="C2" s="47"/>
      <c r="D2" s="47"/>
      <c r="E2" s="47"/>
      <c r="F2" s="47"/>
      <c r="G2" s="47"/>
      <c r="H2" s="47"/>
      <c r="I2" s="47"/>
      <c r="J2" s="47"/>
      <c r="K2" s="47"/>
      <c r="L2" s="47"/>
      <c r="M2" s="47"/>
      <c r="N2" s="47"/>
      <c r="O2" s="47"/>
      <c r="P2" s="47"/>
      <c r="Q2" s="47"/>
    </row>
    <row r="3" spans="2:17">
      <c r="B3" s="47"/>
      <c r="C3" s="47"/>
      <c r="D3" s="47"/>
      <c r="E3" s="47"/>
      <c r="F3" s="47"/>
      <c r="G3" s="47"/>
      <c r="H3" s="47"/>
      <c r="I3" s="47"/>
      <c r="J3" s="47"/>
      <c r="K3" s="47"/>
      <c r="L3" s="47"/>
      <c r="M3" s="47"/>
      <c r="N3" s="47"/>
      <c r="O3" s="47"/>
      <c r="P3" s="47"/>
      <c r="Q3" s="47"/>
    </row>
    <row r="4" spans="2:17">
      <c r="B4" s="47"/>
      <c r="C4" s="47"/>
      <c r="D4" s="47"/>
      <c r="E4" s="47"/>
      <c r="F4" s="47"/>
      <c r="G4" s="47"/>
      <c r="H4" s="47"/>
      <c r="I4" s="47"/>
      <c r="J4" s="47"/>
      <c r="K4" s="47"/>
      <c r="L4" s="47"/>
      <c r="M4" s="47"/>
      <c r="N4" s="47"/>
      <c r="O4" s="47"/>
      <c r="P4" s="47"/>
      <c r="Q4" s="47"/>
    </row>
    <row r="5" spans="2:17">
      <c r="B5" s="47"/>
      <c r="C5" s="47"/>
      <c r="D5" s="47"/>
      <c r="E5" s="47"/>
      <c r="F5" s="47"/>
      <c r="G5" s="47"/>
      <c r="H5" s="47"/>
      <c r="I5" s="47"/>
      <c r="J5" s="47"/>
      <c r="K5" s="47"/>
      <c r="L5" s="47"/>
      <c r="M5" s="47"/>
      <c r="N5" s="47"/>
      <c r="O5" s="47"/>
      <c r="P5" s="47"/>
      <c r="Q5" s="47"/>
    </row>
    <row r="6" spans="2:17">
      <c r="B6" s="47"/>
      <c r="C6" s="47"/>
      <c r="D6" s="47"/>
      <c r="E6" s="47"/>
      <c r="F6" s="47"/>
      <c r="G6" s="47"/>
      <c r="H6" s="47"/>
      <c r="I6" s="47"/>
      <c r="J6" s="47"/>
      <c r="K6" s="47"/>
      <c r="L6" s="47"/>
      <c r="M6" s="47"/>
      <c r="N6" s="47"/>
      <c r="O6" s="47"/>
      <c r="P6" s="47"/>
      <c r="Q6" s="47"/>
    </row>
    <row r="7" spans="2:17">
      <c r="B7" s="47"/>
      <c r="C7" s="47"/>
      <c r="D7" s="47"/>
      <c r="E7" s="47"/>
      <c r="F7" s="47"/>
      <c r="G7" s="47"/>
      <c r="H7" s="47"/>
      <c r="I7" s="47"/>
      <c r="J7" s="47"/>
      <c r="K7" s="47"/>
      <c r="L7" s="47"/>
      <c r="M7" s="47"/>
      <c r="N7" s="47"/>
      <c r="O7" s="47"/>
      <c r="P7" s="47"/>
      <c r="Q7" s="47"/>
    </row>
    <row r="8" spans="2:17">
      <c r="B8" s="47"/>
      <c r="C8" s="47"/>
      <c r="D8" s="47"/>
      <c r="E8" s="47"/>
      <c r="F8" s="47"/>
      <c r="G8" s="47"/>
      <c r="H8" s="47"/>
      <c r="I8" s="47"/>
      <c r="J8" s="47"/>
      <c r="K8" s="47"/>
      <c r="L8" s="47"/>
      <c r="M8" s="47"/>
      <c r="N8" s="47"/>
      <c r="O8" s="47"/>
      <c r="P8" s="47"/>
      <c r="Q8" s="47"/>
    </row>
    <row r="9" spans="2:17">
      <c r="B9" s="47"/>
      <c r="C9" s="47"/>
      <c r="D9" s="47"/>
      <c r="E9" s="47"/>
      <c r="F9" s="47"/>
      <c r="G9" s="47"/>
      <c r="H9" s="47"/>
      <c r="I9" s="47"/>
      <c r="J9" s="47"/>
      <c r="K9" s="47"/>
      <c r="L9" s="47"/>
      <c r="M9" s="47"/>
      <c r="N9" s="47"/>
      <c r="O9" s="47"/>
      <c r="P9" s="47"/>
      <c r="Q9" s="47"/>
    </row>
    <row r="10" spans="2:17">
      <c r="B10" s="47"/>
      <c r="C10" s="47"/>
      <c r="D10" s="47"/>
      <c r="E10" s="47"/>
      <c r="F10" s="47"/>
      <c r="G10" s="47"/>
      <c r="H10" s="47"/>
      <c r="I10" s="47"/>
      <c r="J10" s="47"/>
      <c r="K10" s="47"/>
      <c r="L10" s="47"/>
      <c r="M10" s="47"/>
      <c r="N10" s="47"/>
      <c r="O10" s="47"/>
      <c r="P10" s="47"/>
      <c r="Q10" s="47"/>
    </row>
    <row r="11" spans="2:17">
      <c r="B11" s="47"/>
      <c r="C11" s="47"/>
      <c r="D11" s="47"/>
      <c r="E11" s="47"/>
      <c r="F11" s="47"/>
      <c r="G11" s="47"/>
      <c r="H11" s="47"/>
      <c r="I11" s="47"/>
      <c r="J11" s="47"/>
      <c r="K11" s="47"/>
      <c r="L11" s="47"/>
      <c r="M11" s="47"/>
      <c r="N11" s="47"/>
      <c r="O11" s="47"/>
      <c r="P11" s="47"/>
      <c r="Q11" s="47"/>
    </row>
    <row r="12" spans="2:17">
      <c r="B12" s="47"/>
      <c r="C12" s="47"/>
      <c r="D12" s="47"/>
      <c r="E12" s="47"/>
      <c r="F12" s="47"/>
      <c r="G12" s="47"/>
      <c r="H12" s="47"/>
      <c r="I12" s="47"/>
      <c r="J12" s="47"/>
      <c r="K12" s="47"/>
      <c r="L12" s="47"/>
      <c r="M12" s="47"/>
      <c r="N12" s="47"/>
      <c r="O12" s="47"/>
      <c r="P12" s="47"/>
      <c r="Q12" s="47"/>
    </row>
    <row r="13" spans="2:17">
      <c r="B13" s="47"/>
      <c r="C13" s="47"/>
      <c r="D13" s="47"/>
      <c r="E13" s="47"/>
      <c r="F13" s="47"/>
      <c r="G13" s="47"/>
      <c r="H13" s="47"/>
      <c r="I13" s="47"/>
      <c r="J13" s="47"/>
      <c r="K13" s="47"/>
      <c r="L13" s="47"/>
      <c r="M13" s="47"/>
      <c r="N13" s="47"/>
      <c r="O13" s="47"/>
      <c r="P13" s="47"/>
      <c r="Q13" s="47"/>
    </row>
    <row r="14" spans="2:17">
      <c r="B14" s="47"/>
      <c r="C14" s="47"/>
      <c r="D14" s="47"/>
      <c r="E14" s="47"/>
      <c r="F14" s="47"/>
      <c r="G14" s="47"/>
      <c r="H14" s="47"/>
      <c r="I14" s="47"/>
      <c r="J14" s="47"/>
      <c r="K14" s="47"/>
      <c r="L14" s="47"/>
      <c r="M14" s="47"/>
      <c r="N14" s="47"/>
      <c r="O14" s="47"/>
      <c r="P14" s="47"/>
      <c r="Q14" s="47"/>
    </row>
    <row r="15" spans="2:17">
      <c r="B15" s="47"/>
      <c r="C15" s="47"/>
      <c r="D15" s="47"/>
      <c r="E15" s="47"/>
      <c r="F15" s="47"/>
      <c r="G15" s="47"/>
      <c r="H15" s="47"/>
      <c r="I15" s="47"/>
      <c r="J15" s="47"/>
      <c r="K15" s="47"/>
      <c r="L15" s="47"/>
      <c r="M15" s="47"/>
      <c r="N15" s="47"/>
      <c r="O15" s="47"/>
      <c r="P15" s="47"/>
      <c r="Q15" s="47"/>
    </row>
    <row r="16" spans="2:17" ht="28">
      <c r="B16" s="47"/>
      <c r="C16" s="49" t="s">
        <v>95</v>
      </c>
      <c r="D16" s="47"/>
      <c r="E16" s="47"/>
      <c r="F16" s="47"/>
      <c r="G16" s="47"/>
      <c r="H16" s="47"/>
      <c r="I16" s="47"/>
      <c r="J16" s="47"/>
      <c r="K16" s="47"/>
      <c r="L16" s="47"/>
      <c r="M16" s="47"/>
      <c r="N16" s="47"/>
      <c r="O16" s="47"/>
      <c r="P16" s="47"/>
      <c r="Q16" s="47"/>
    </row>
    <row r="17" spans="2:17">
      <c r="B17" s="47"/>
      <c r="C17" s="47"/>
      <c r="D17" s="47"/>
      <c r="E17" s="47"/>
      <c r="F17" s="47"/>
      <c r="G17" s="47"/>
      <c r="H17" s="47"/>
      <c r="I17" s="47"/>
      <c r="J17" s="47"/>
      <c r="K17" s="47"/>
      <c r="L17" s="47"/>
      <c r="M17" s="47"/>
      <c r="N17" s="47"/>
      <c r="O17" s="47"/>
      <c r="P17" s="47"/>
      <c r="Q17" s="47"/>
    </row>
    <row r="18" spans="2:17">
      <c r="B18" s="47"/>
      <c r="C18" s="47"/>
      <c r="D18" s="47"/>
      <c r="E18" s="47"/>
      <c r="F18" s="47"/>
      <c r="G18" s="47"/>
      <c r="H18" s="47"/>
      <c r="I18" s="47"/>
      <c r="J18" s="47"/>
      <c r="K18" s="47"/>
      <c r="L18" s="47"/>
      <c r="M18" s="47"/>
      <c r="N18" s="47"/>
      <c r="O18" s="47"/>
      <c r="P18" s="50"/>
      <c r="Q18" s="47"/>
    </row>
    <row r="19" spans="2:17" ht="19">
      <c r="B19" s="47"/>
      <c r="C19" s="51" t="s">
        <v>97</v>
      </c>
      <c r="D19" s="52"/>
      <c r="E19" s="52"/>
      <c r="F19" s="52"/>
      <c r="G19" s="47"/>
      <c r="H19" s="47"/>
      <c r="I19" s="47"/>
      <c r="J19" s="47"/>
      <c r="K19" s="47"/>
      <c r="L19" s="47"/>
      <c r="M19" s="47"/>
      <c r="N19" s="47"/>
      <c r="O19" s="47"/>
      <c r="P19" s="47"/>
      <c r="Q19" s="47"/>
    </row>
    <row r="20" spans="2:17" ht="15.5">
      <c r="B20" s="47"/>
      <c r="C20" s="53" t="s">
        <v>98</v>
      </c>
      <c r="D20" s="47"/>
      <c r="E20" s="47"/>
      <c r="F20" s="47"/>
      <c r="G20" s="47"/>
      <c r="H20" s="47"/>
      <c r="I20" s="47"/>
      <c r="J20" s="47"/>
      <c r="K20" s="47"/>
      <c r="L20" s="47"/>
      <c r="M20" s="47"/>
      <c r="N20" s="47"/>
      <c r="O20" s="47"/>
      <c r="P20" s="47"/>
      <c r="Q20" s="47"/>
    </row>
    <row r="21" spans="2:17" ht="15.5">
      <c r="B21" s="47"/>
      <c r="C21" s="53"/>
      <c r="D21" s="47"/>
      <c r="E21" s="47"/>
      <c r="F21" s="47"/>
      <c r="G21" s="47"/>
      <c r="H21" s="47"/>
      <c r="I21" s="47"/>
      <c r="J21" s="47"/>
      <c r="K21" s="47"/>
      <c r="L21" s="47"/>
      <c r="M21" s="47"/>
      <c r="N21" s="47"/>
      <c r="O21" s="47"/>
      <c r="P21" s="47"/>
      <c r="Q21" s="47"/>
    </row>
    <row r="22" spans="2:17">
      <c r="B22" s="47"/>
      <c r="C22" s="47"/>
      <c r="D22" s="47"/>
      <c r="E22" s="47"/>
      <c r="F22" s="47"/>
      <c r="G22" s="47"/>
      <c r="H22" s="47"/>
      <c r="I22" s="47"/>
      <c r="J22" s="47"/>
      <c r="K22" s="47"/>
      <c r="L22" s="47"/>
      <c r="M22" s="47"/>
      <c r="N22" s="47"/>
      <c r="O22" s="47"/>
      <c r="P22" s="47"/>
      <c r="Q22" s="47"/>
    </row>
    <row r="23" spans="2:17">
      <c r="B23" s="47"/>
      <c r="C23" s="47"/>
      <c r="D23" s="47"/>
      <c r="E23" s="47"/>
      <c r="F23" s="47"/>
      <c r="G23" s="47"/>
      <c r="H23" s="47"/>
      <c r="I23" s="47"/>
      <c r="J23" s="47"/>
      <c r="K23" s="47"/>
      <c r="L23" s="47"/>
      <c r="M23" s="47"/>
      <c r="N23" s="47"/>
      <c r="O23" s="47"/>
      <c r="P23" s="47"/>
      <c r="Q23" s="47"/>
    </row>
    <row r="24" spans="2:17" ht="15.5">
      <c r="B24" s="47"/>
      <c r="C24" s="54" t="s">
        <v>90</v>
      </c>
      <c r="D24" s="47"/>
      <c r="E24" s="47"/>
      <c r="F24" s="47"/>
      <c r="G24" s="47"/>
      <c r="H24" s="47"/>
      <c r="I24" s="47"/>
      <c r="J24" s="47"/>
      <c r="K24" s="47"/>
      <c r="L24" s="47"/>
      <c r="M24" s="47"/>
      <c r="N24" s="47"/>
      <c r="O24" s="47"/>
      <c r="P24" s="47"/>
      <c r="Q24" s="47"/>
    </row>
    <row r="25" spans="2:17" ht="15.5">
      <c r="B25" s="47"/>
      <c r="C25" s="55" t="s">
        <v>96</v>
      </c>
      <c r="D25" s="47"/>
      <c r="E25" s="47"/>
      <c r="F25" s="47"/>
      <c r="G25" s="47"/>
      <c r="H25" s="47"/>
      <c r="I25" s="47"/>
      <c r="J25" s="47"/>
      <c r="K25" s="47"/>
      <c r="L25" s="47"/>
      <c r="M25" s="47"/>
      <c r="N25" s="47"/>
      <c r="O25" s="47"/>
      <c r="P25" s="47"/>
      <c r="Q25" s="47"/>
    </row>
    <row r="26" spans="2:17" ht="15.5">
      <c r="B26" s="47"/>
      <c r="C26" s="54" t="s">
        <v>91</v>
      </c>
      <c r="D26" s="47"/>
      <c r="E26" s="47"/>
      <c r="F26" s="47"/>
      <c r="G26" s="47"/>
      <c r="H26" s="47"/>
      <c r="I26" s="47"/>
      <c r="J26" s="47"/>
      <c r="K26" s="47"/>
      <c r="L26" s="47"/>
      <c r="M26" s="47"/>
      <c r="N26" s="47"/>
      <c r="O26" s="47"/>
      <c r="P26" s="47"/>
      <c r="Q26" s="47"/>
    </row>
    <row r="27" spans="2:17">
      <c r="B27" s="47"/>
      <c r="C27" s="47"/>
      <c r="D27" s="47"/>
      <c r="E27" s="47"/>
      <c r="F27" s="47"/>
      <c r="G27" s="47"/>
      <c r="H27" s="47"/>
      <c r="I27" s="47"/>
      <c r="J27" s="47"/>
      <c r="K27" s="47"/>
      <c r="L27" s="47"/>
      <c r="M27" s="47"/>
      <c r="N27" s="47"/>
      <c r="O27" s="47"/>
      <c r="P27" s="47"/>
      <c r="Q27" s="47"/>
    </row>
    <row r="28" spans="2:17" ht="15.5">
      <c r="B28" s="47"/>
      <c r="C28" s="56" t="s">
        <v>92</v>
      </c>
      <c r="D28" s="47"/>
      <c r="E28" s="47"/>
      <c r="F28" s="47"/>
      <c r="G28" s="47"/>
      <c r="H28" s="47"/>
      <c r="I28" s="47"/>
      <c r="J28" s="47"/>
      <c r="K28" s="47"/>
      <c r="L28" s="47"/>
      <c r="M28" s="47"/>
      <c r="N28" s="47"/>
      <c r="O28" s="47"/>
      <c r="P28" s="47"/>
      <c r="Q28" s="47"/>
    </row>
    <row r="29" spans="2:17">
      <c r="B29" s="47"/>
      <c r="C29" s="47"/>
      <c r="D29" s="47"/>
      <c r="E29" s="47"/>
      <c r="F29" s="47"/>
      <c r="G29" s="47"/>
      <c r="H29" s="47"/>
      <c r="I29" s="47"/>
      <c r="J29" s="47"/>
      <c r="K29" s="47"/>
      <c r="L29" s="47"/>
      <c r="M29" s="47"/>
      <c r="N29" s="47"/>
      <c r="O29" s="47"/>
      <c r="P29" s="47"/>
      <c r="Q29" s="47"/>
    </row>
    <row r="30" spans="2:17">
      <c r="B30" s="47"/>
      <c r="C30" s="47"/>
      <c r="D30" s="47"/>
      <c r="E30" s="47"/>
      <c r="F30" s="47"/>
      <c r="G30" s="47"/>
      <c r="H30" s="47"/>
      <c r="I30" s="47"/>
      <c r="J30" s="47"/>
      <c r="K30" s="47"/>
      <c r="L30" s="47"/>
      <c r="M30" s="47"/>
      <c r="N30" s="47"/>
      <c r="O30" s="47"/>
      <c r="P30" s="47"/>
      <c r="Q30" s="47"/>
    </row>
    <row r="31" spans="2:17">
      <c r="B31" s="47"/>
      <c r="C31" s="47"/>
      <c r="D31" s="47"/>
      <c r="E31" s="47"/>
      <c r="F31" s="47"/>
      <c r="G31" s="47"/>
      <c r="H31" s="47"/>
      <c r="I31" s="47"/>
      <c r="J31" s="47"/>
      <c r="K31" s="47"/>
      <c r="L31" s="47"/>
      <c r="M31" s="47"/>
      <c r="N31" s="47"/>
      <c r="O31" s="47"/>
      <c r="P31" s="47"/>
      <c r="Q31" s="47"/>
    </row>
    <row r="32" spans="2:17">
      <c r="B32" s="47"/>
      <c r="C32" s="57" t="s">
        <v>93</v>
      </c>
      <c r="D32" s="58"/>
      <c r="E32" s="58"/>
      <c r="F32" s="58"/>
      <c r="G32" s="58"/>
      <c r="H32" s="58"/>
      <c r="I32" s="58"/>
      <c r="J32" s="58"/>
      <c r="K32" s="58"/>
      <c r="L32" s="58"/>
      <c r="M32" s="58"/>
      <c r="N32" s="58"/>
      <c r="O32" s="59"/>
      <c r="P32" s="59"/>
      <c r="Q32" s="47"/>
    </row>
    <row r="33" spans="2:17" ht="17.149999999999999" customHeight="1">
      <c r="B33" s="47"/>
      <c r="C33" s="79" t="s">
        <v>94</v>
      </c>
      <c r="D33" s="79"/>
      <c r="E33" s="79"/>
      <c r="F33" s="79"/>
      <c r="G33" s="79"/>
      <c r="H33" s="79"/>
      <c r="I33" s="79"/>
      <c r="J33" s="79"/>
      <c r="K33" s="79"/>
      <c r="L33" s="79"/>
      <c r="M33" s="79"/>
      <c r="N33" s="79"/>
      <c r="O33" s="79"/>
      <c r="P33" s="79"/>
      <c r="Q33" s="47"/>
    </row>
    <row r="34" spans="2:17" ht="17.149999999999999" customHeight="1">
      <c r="B34" s="47"/>
      <c r="C34" s="79"/>
      <c r="D34" s="79"/>
      <c r="E34" s="79"/>
      <c r="F34" s="79"/>
      <c r="G34" s="79"/>
      <c r="H34" s="79"/>
      <c r="I34" s="79"/>
      <c r="J34" s="79"/>
      <c r="K34" s="79"/>
      <c r="L34" s="79"/>
      <c r="M34" s="79"/>
      <c r="N34" s="79"/>
      <c r="O34" s="79"/>
      <c r="P34" s="79"/>
      <c r="Q34" s="47"/>
    </row>
    <row r="35" spans="2:17" ht="17.149999999999999" customHeight="1">
      <c r="B35" s="47"/>
      <c r="C35" s="79"/>
      <c r="D35" s="79"/>
      <c r="E35" s="79"/>
      <c r="F35" s="79"/>
      <c r="G35" s="79"/>
      <c r="H35" s="79"/>
      <c r="I35" s="79"/>
      <c r="J35" s="79"/>
      <c r="K35" s="79"/>
      <c r="L35" s="79"/>
      <c r="M35" s="79"/>
      <c r="N35" s="79"/>
      <c r="O35" s="79"/>
      <c r="P35" s="79"/>
      <c r="Q35" s="47"/>
    </row>
    <row r="36" spans="2:17" ht="15" customHeight="1">
      <c r="B36" s="47"/>
      <c r="C36" s="79"/>
      <c r="D36" s="79"/>
      <c r="E36" s="79"/>
      <c r="F36" s="79"/>
      <c r="G36" s="79"/>
      <c r="H36" s="79"/>
      <c r="I36" s="79"/>
      <c r="J36" s="79"/>
      <c r="K36" s="79"/>
      <c r="L36" s="79"/>
      <c r="M36" s="79"/>
      <c r="N36" s="79"/>
      <c r="O36" s="79"/>
      <c r="P36" s="79"/>
      <c r="Q36" s="47"/>
    </row>
    <row r="37" spans="2:17">
      <c r="B37" s="47"/>
      <c r="C37" s="47"/>
      <c r="D37" s="47"/>
      <c r="E37" s="47"/>
      <c r="F37" s="47"/>
      <c r="G37" s="47"/>
      <c r="H37" s="47"/>
      <c r="I37" s="47"/>
      <c r="J37" s="47"/>
      <c r="K37" s="47"/>
      <c r="L37" s="47"/>
      <c r="M37" s="47"/>
      <c r="N37" s="47"/>
      <c r="O37" s="47"/>
      <c r="P37" s="47"/>
      <c r="Q37" s="47"/>
    </row>
    <row r="38" spans="2:17">
      <c r="B38" s="47"/>
      <c r="C38" s="47"/>
      <c r="D38" s="47"/>
      <c r="E38" s="47"/>
      <c r="F38" s="47"/>
      <c r="G38" s="47"/>
      <c r="H38" s="47"/>
      <c r="I38" s="47"/>
      <c r="J38" s="47"/>
      <c r="K38" s="47"/>
      <c r="L38" s="47"/>
      <c r="M38" s="47"/>
      <c r="N38" s="47"/>
      <c r="O38" s="47"/>
      <c r="P38" s="47"/>
      <c r="Q38" s="47"/>
    </row>
    <row r="39" spans="2:17">
      <c r="B39" s="47"/>
      <c r="C39" s="47"/>
      <c r="D39" s="47"/>
      <c r="E39" s="47"/>
      <c r="F39" s="47"/>
      <c r="G39" s="47"/>
      <c r="H39" s="47"/>
      <c r="I39" s="47"/>
      <c r="J39" s="47"/>
      <c r="K39" s="47"/>
      <c r="L39" s="47"/>
      <c r="M39" s="47"/>
      <c r="N39" s="47"/>
      <c r="O39" s="47"/>
      <c r="P39" s="47"/>
      <c r="Q39" s="47"/>
    </row>
    <row r="40" spans="2:17">
      <c r="B40" s="47"/>
      <c r="C40" s="47"/>
      <c r="D40" s="47"/>
      <c r="E40" s="47"/>
      <c r="F40" s="47"/>
      <c r="G40" s="47"/>
      <c r="H40" s="47"/>
      <c r="I40" s="47"/>
      <c r="J40" s="47"/>
      <c r="K40" s="47"/>
      <c r="L40" s="47"/>
      <c r="M40" s="47"/>
      <c r="N40" s="47"/>
      <c r="O40" s="47"/>
      <c r="P40" s="47"/>
      <c r="Q40" s="47"/>
    </row>
    <row r="41" spans="2:17">
      <c r="B41" s="47"/>
      <c r="C41" s="47"/>
      <c r="D41" s="47"/>
      <c r="E41" s="47"/>
      <c r="F41" s="47"/>
      <c r="G41" s="47"/>
      <c r="H41" s="47"/>
      <c r="I41" s="47"/>
      <c r="J41" s="47"/>
      <c r="K41" s="47"/>
      <c r="L41" s="47"/>
      <c r="M41" s="47"/>
      <c r="N41" s="47"/>
      <c r="O41" s="47"/>
      <c r="P41" s="47"/>
      <c r="Q41" s="47"/>
    </row>
  </sheetData>
  <mergeCells count="1">
    <mergeCell ref="C33:P36"/>
  </mergeCells>
  <hyperlinks>
    <hyperlink ref="C28" r:id="rId1" xr:uid="{F2FD76FF-D086-4166-BCC6-C8C4E5FAE1AD}"/>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514EC-572E-4711-AE76-F17319001672}">
  <sheetPr codeName="Sheet1"/>
  <dimension ref="A1:M87"/>
  <sheetViews>
    <sheetView topLeftCell="A57" workbookViewId="0">
      <selection activeCell="F84" sqref="F84"/>
    </sheetView>
  </sheetViews>
  <sheetFormatPr defaultRowHeight="14"/>
  <cols>
    <col min="1" max="1" width="3" customWidth="1"/>
    <col min="2" max="2" width="42" customWidth="1"/>
    <col min="3" max="3" width="14.4140625" customWidth="1"/>
    <col min="4" max="4" width="15.33203125" customWidth="1"/>
    <col min="5" max="5" width="13.83203125" customWidth="1"/>
    <col min="6" max="6" width="30.33203125" customWidth="1"/>
    <col min="7" max="7" width="18" customWidth="1"/>
    <col min="8" max="8" width="12.1640625" customWidth="1"/>
    <col min="12" max="12" width="15.33203125" customWidth="1"/>
    <col min="13" max="13" width="14.75" style="15" customWidth="1"/>
  </cols>
  <sheetData>
    <row r="1" spans="1:13" s="5" customFormat="1">
      <c r="A1" s="2" t="s">
        <v>0</v>
      </c>
      <c r="B1" s="3"/>
      <c r="C1" s="3"/>
      <c r="D1" s="3"/>
      <c r="E1" s="3"/>
      <c r="F1" s="3"/>
      <c r="G1" s="3"/>
      <c r="H1" s="3"/>
      <c r="I1" s="3"/>
      <c r="J1" s="3"/>
      <c r="K1" s="3"/>
      <c r="L1" s="3"/>
      <c r="M1" s="4"/>
    </row>
    <row r="2" spans="1:13" s="5" customFormat="1" ht="18">
      <c r="A2" s="6" t="s">
        <v>104</v>
      </c>
      <c r="B2" s="7"/>
      <c r="C2" s="8"/>
      <c r="D2" s="7"/>
      <c r="E2" s="7"/>
      <c r="F2" s="7"/>
      <c r="G2" s="7"/>
      <c r="H2" s="7"/>
      <c r="I2" s="7"/>
      <c r="J2" s="7"/>
      <c r="K2" s="7"/>
      <c r="L2" s="7"/>
      <c r="M2" s="9"/>
    </row>
    <row r="4" spans="1:13">
      <c r="B4" s="67" t="s">
        <v>115</v>
      </c>
    </row>
    <row r="5" spans="1:13">
      <c r="B5" t="s">
        <v>112</v>
      </c>
    </row>
    <row r="7" spans="1:13" s="5" customFormat="1" ht="15.5">
      <c r="B7" s="10" t="s">
        <v>1</v>
      </c>
      <c r="C7" s="11"/>
      <c r="D7" s="12"/>
      <c r="E7" s="12"/>
      <c r="F7" s="12"/>
      <c r="G7" s="12"/>
      <c r="H7" s="12"/>
      <c r="I7" s="12"/>
      <c r="J7" s="12"/>
      <c r="K7" s="12"/>
      <c r="L7" s="12"/>
      <c r="M7" s="12"/>
    </row>
    <row r="9" spans="1:13">
      <c r="B9" s="13"/>
      <c r="C9" s="14" t="s" vm="1">
        <v>55</v>
      </c>
      <c r="D9" s="14" t="s" vm="2">
        <v>56</v>
      </c>
      <c r="E9" s="14" t="s" vm="3">
        <v>57</v>
      </c>
      <c r="M9" s="15" t="s">
        <v>2</v>
      </c>
    </row>
    <row r="10" spans="1:13">
      <c r="L10" s="15" t="s">
        <v>3</v>
      </c>
      <c r="M10" s="15" t="s">
        <v>4</v>
      </c>
    </row>
    <row r="11" spans="1:13">
      <c r="B11" s="16" t="s">
        <v>5</v>
      </c>
      <c r="C11" s="17">
        <v>24362400</v>
      </c>
      <c r="D11" s="17">
        <v>25348800</v>
      </c>
      <c r="E11" s="17">
        <v>26438400</v>
      </c>
      <c r="L11" s="18" t="s">
        <v>6</v>
      </c>
      <c r="M11" s="15" t="s">
        <v>7</v>
      </c>
    </row>
    <row r="12" spans="1:13" ht="14.5">
      <c r="B12" s="19" t="s">
        <v>8</v>
      </c>
      <c r="C12" s="20"/>
      <c r="D12" s="21">
        <v>4.0488621810659042E-2</v>
      </c>
      <c r="E12" s="21">
        <v>4.2984283279681845E-2</v>
      </c>
      <c r="L12" s="18"/>
    </row>
    <row r="13" spans="1:13">
      <c r="B13" s="1"/>
      <c r="C13" s="22"/>
      <c r="D13" s="22"/>
      <c r="E13" s="22"/>
      <c r="L13" s="18"/>
    </row>
    <row r="14" spans="1:13">
      <c r="B14" s="16" t="s">
        <v>9</v>
      </c>
    </row>
    <row r="15" spans="1:13">
      <c r="B15" s="23" t="s">
        <v>10</v>
      </c>
      <c r="C15" s="24" vm="4">
        <v>15835560</v>
      </c>
      <c r="D15" s="24" vm="5">
        <v>17997647.999999993</v>
      </c>
      <c r="E15" s="24" vm="6">
        <v>18242496.000000022</v>
      </c>
    </row>
    <row r="16" spans="1:13">
      <c r="B16" s="23" t="s">
        <v>11</v>
      </c>
      <c r="C16" s="24" vm="7">
        <v>2923488</v>
      </c>
      <c r="D16" s="24" vm="8">
        <v>3041856</v>
      </c>
      <c r="E16" s="24" vm="9">
        <v>3172608</v>
      </c>
    </row>
    <row r="17" spans="2:5">
      <c r="B17" s="25" t="s">
        <v>12</v>
      </c>
      <c r="C17" s="26">
        <v>18759048</v>
      </c>
      <c r="D17" s="26">
        <v>21039503.999999993</v>
      </c>
      <c r="E17" s="26">
        <v>21415104.000000022</v>
      </c>
    </row>
    <row r="18" spans="2:5" ht="14.5" thickBot="1"/>
    <row r="19" spans="2:5" ht="14.5" thickTop="1">
      <c r="B19" s="27" t="s">
        <v>13</v>
      </c>
      <c r="C19" s="28">
        <v>5603352</v>
      </c>
      <c r="D19" s="28">
        <v>4309296.0000000075</v>
      </c>
      <c r="E19" s="28">
        <v>5023295.9999999776</v>
      </c>
    </row>
    <row r="20" spans="2:5" ht="14.5">
      <c r="B20" s="29" t="s">
        <v>14</v>
      </c>
      <c r="C20" s="21">
        <v>0.23</v>
      </c>
      <c r="D20" s="21">
        <v>0.17000000000000029</v>
      </c>
      <c r="E20" s="21">
        <v>0.18999999999999914</v>
      </c>
    </row>
    <row r="22" spans="2:5">
      <c r="B22" s="16" t="s">
        <v>15</v>
      </c>
    </row>
    <row r="23" spans="2:5">
      <c r="B23" s="23" t="s">
        <v>16</v>
      </c>
      <c r="C23" s="24" vm="10">
        <v>1080000</v>
      </c>
      <c r="D23" s="24" vm="11">
        <v>1080000</v>
      </c>
      <c r="E23" s="24" vm="12">
        <v>1080000</v>
      </c>
    </row>
    <row r="24" spans="2:5">
      <c r="B24" s="23" t="s">
        <v>17</v>
      </c>
      <c r="C24" s="24" vm="13">
        <v>108000</v>
      </c>
      <c r="D24" s="24" vm="14">
        <v>108000</v>
      </c>
      <c r="E24" s="24" vm="15">
        <v>108000</v>
      </c>
    </row>
    <row r="25" spans="2:5">
      <c r="B25" s="23" t="s">
        <v>18</v>
      </c>
      <c r="C25" s="24" vm="16">
        <v>28800</v>
      </c>
      <c r="D25" s="24" vm="17">
        <v>28800</v>
      </c>
      <c r="E25" s="24" vm="18">
        <v>28800</v>
      </c>
    </row>
    <row r="26" spans="2:5">
      <c r="B26" s="23" t="s">
        <v>19</v>
      </c>
      <c r="C26" s="24" vm="19">
        <v>900</v>
      </c>
      <c r="D26" s="24" vm="20">
        <v>900</v>
      </c>
      <c r="E26" s="24" vm="21">
        <v>900</v>
      </c>
    </row>
    <row r="27" spans="2:5">
      <c r="B27" s="31" t="s">
        <v>23</v>
      </c>
      <c r="C27" s="17" vm="22">
        <v>215129.92394617095</v>
      </c>
      <c r="D27" s="17" vm="23">
        <v>215129.92394617095</v>
      </c>
      <c r="E27" s="17" vm="24">
        <v>215129.92394617078</v>
      </c>
    </row>
    <row r="28" spans="2:5">
      <c r="B28" s="25" t="s">
        <v>20</v>
      </c>
      <c r="C28" s="26">
        <v>1432829.9239461711</v>
      </c>
      <c r="D28" s="26">
        <v>1432829.9239461711</v>
      </c>
      <c r="E28" s="26">
        <v>1432829.9239461708</v>
      </c>
    </row>
    <row r="29" spans="2:5">
      <c r="C29" s="22"/>
      <c r="D29" s="22"/>
      <c r="E29" s="22"/>
    </row>
    <row r="30" spans="2:5">
      <c r="B30" s="30" t="s">
        <v>21</v>
      </c>
      <c r="C30" s="17">
        <v>4385652</v>
      </c>
      <c r="D30" s="17">
        <v>3091596.0000000075</v>
      </c>
      <c r="E30" s="17">
        <v>3805595.9999999776</v>
      </c>
    </row>
    <row r="31" spans="2:5" ht="14.5">
      <c r="B31" s="19" t="s">
        <v>22</v>
      </c>
      <c r="C31" s="21">
        <v>0.18001723968081962</v>
      </c>
      <c r="D31" s="21">
        <v>0.12196222306381396</v>
      </c>
      <c r="E31" s="21">
        <v>0.14394199346405145</v>
      </c>
    </row>
    <row r="33" spans="2:13" ht="14.5" thickBot="1">
      <c r="B33" s="30" t="s">
        <v>24</v>
      </c>
      <c r="C33" s="17" vm="25">
        <v>92887.237966688161</v>
      </c>
      <c r="D33" s="17" vm="26">
        <v>79217.380729122146</v>
      </c>
      <c r="E33" s="17" vm="27">
        <v>65157.476132344673</v>
      </c>
    </row>
    <row r="34" spans="2:13" ht="14.5" thickTop="1">
      <c r="B34" s="32" t="s">
        <v>25</v>
      </c>
      <c r="C34" s="28">
        <v>4077634.838087141</v>
      </c>
      <c r="D34" s="28">
        <v>2797248.6953247143</v>
      </c>
      <c r="E34" s="28">
        <v>3525308.5999214621</v>
      </c>
    </row>
    <row r="35" spans="2:13">
      <c r="B35" s="30"/>
      <c r="C35" s="33"/>
      <c r="D35" s="33"/>
      <c r="E35" s="33"/>
    </row>
    <row r="36" spans="2:13">
      <c r="B36" s="30" t="s">
        <v>26</v>
      </c>
      <c r="C36" s="17" vm="28">
        <v>829446.96761742805</v>
      </c>
      <c r="D36" s="17" vm="29">
        <v>572406.40573160804</v>
      </c>
      <c r="E36" s="17" vm="30">
        <v>717058.38665096369</v>
      </c>
    </row>
    <row r="37" spans="2:13" ht="14.5" thickBot="1">
      <c r="B37" s="34"/>
      <c r="C37" s="22"/>
      <c r="D37" s="22"/>
      <c r="E37" s="22"/>
    </row>
    <row r="38" spans="2:13" ht="14.5" thickTop="1">
      <c r="B38" s="32" t="s">
        <v>27</v>
      </c>
      <c r="C38" s="35">
        <v>3248187.8704697131</v>
      </c>
      <c r="D38" s="35">
        <v>2224842.2895931061</v>
      </c>
      <c r="E38" s="35">
        <v>2808250.2132704984</v>
      </c>
    </row>
    <row r="40" spans="2:13">
      <c r="C40" s="36"/>
      <c r="D40" s="36"/>
      <c r="E40" s="36"/>
    </row>
    <row r="41" spans="2:13" ht="15.5">
      <c r="B41" s="10" t="s">
        <v>28</v>
      </c>
      <c r="C41" s="11"/>
      <c r="D41" s="12"/>
      <c r="E41" s="12"/>
      <c r="F41" s="12"/>
      <c r="G41" s="12"/>
      <c r="H41" s="12"/>
      <c r="I41" s="12"/>
      <c r="J41" s="12"/>
      <c r="K41" s="12"/>
      <c r="L41" s="12"/>
      <c r="M41" s="12"/>
    </row>
    <row r="43" spans="2:13">
      <c r="B43" s="37" t="s">
        <v>29</v>
      </c>
      <c r="C43" s="38" t="s" vm="1">
        <v>55</v>
      </c>
      <c r="D43" s="38" t="s" vm="2">
        <v>56</v>
      </c>
      <c r="E43" s="38" t="s" vm="3">
        <v>57</v>
      </c>
    </row>
    <row r="45" spans="2:13">
      <c r="B45" s="16" t="s">
        <v>30</v>
      </c>
      <c r="C45" s="36"/>
    </row>
    <row r="46" spans="2:13">
      <c r="B46" s="23" t="s">
        <v>31</v>
      </c>
      <c r="C46" s="24" vm="31">
        <v>5445093.8300000001</v>
      </c>
      <c r="D46" s="24" vm="32">
        <v>7612541.7690492375</v>
      </c>
      <c r="E46" s="24" vm="33">
        <v>10733128.189984299</v>
      </c>
    </row>
    <row r="47" spans="2:13">
      <c r="B47" s="23" t="s">
        <v>32</v>
      </c>
      <c r="C47" s="24" vm="34">
        <v>61689.599999999991</v>
      </c>
      <c r="D47" s="24" vm="35">
        <v>63172.799999999988</v>
      </c>
      <c r="E47" s="24" vm="36">
        <v>66124.800000000032</v>
      </c>
    </row>
    <row r="48" spans="2:13">
      <c r="B48" s="23" t="s">
        <v>33</v>
      </c>
      <c r="C48" s="24" vm="37">
        <v>187199.99999999953</v>
      </c>
      <c r="D48" s="24" vm="38">
        <v>187199.99999999959</v>
      </c>
      <c r="E48" s="24" vm="39">
        <v>187199.99999999994</v>
      </c>
    </row>
    <row r="49" spans="2:5">
      <c r="B49" s="25" t="s">
        <v>34</v>
      </c>
      <c r="C49" s="39">
        <v>5693983.4299999997</v>
      </c>
      <c r="D49" s="39">
        <v>7862914.5690492373</v>
      </c>
      <c r="E49" s="39">
        <v>10986452.9899843</v>
      </c>
    </row>
    <row r="50" spans="2:5">
      <c r="B50" s="15"/>
    </row>
    <row r="51" spans="2:5">
      <c r="B51" s="30" t="s">
        <v>35</v>
      </c>
      <c r="C51" s="36"/>
    </row>
    <row r="52" spans="2:5">
      <c r="B52" s="23" t="s">
        <v>36</v>
      </c>
      <c r="C52" s="24" vm="40">
        <v>120855.59999999995</v>
      </c>
      <c r="D52" s="24" vm="41">
        <v>107427.19999999987</v>
      </c>
      <c r="E52" s="24" vm="42">
        <v>93998.799999999785</v>
      </c>
    </row>
    <row r="53" spans="2:5">
      <c r="B53" s="23" t="s">
        <v>37</v>
      </c>
      <c r="C53" s="24" vm="43">
        <v>403403.04789234174</v>
      </c>
      <c r="D53" s="24" vm="44">
        <v>201701.52394617081</v>
      </c>
      <c r="E53" s="24" vm="45">
        <v>5.4569682106375694E-11</v>
      </c>
    </row>
    <row r="54" spans="2:5">
      <c r="B54" s="25" t="s">
        <v>38</v>
      </c>
      <c r="C54" s="39">
        <v>524258.64789234172</v>
      </c>
      <c r="D54" s="39">
        <v>309128.72394617065</v>
      </c>
      <c r="E54" s="39">
        <v>93998.799999999843</v>
      </c>
    </row>
    <row r="55" spans="2:5" ht="14.5" thickBot="1"/>
    <row r="56" spans="2:5" ht="14.5" thickTop="1">
      <c r="B56" s="32" t="s">
        <v>39</v>
      </c>
      <c r="C56" s="40">
        <v>6218242.0778923417</v>
      </c>
      <c r="D56" s="40">
        <v>8172043.2929954082</v>
      </c>
      <c r="E56" s="40">
        <v>11080451.789984301</v>
      </c>
    </row>
    <row r="58" spans="2:5">
      <c r="B58" s="41" t="s">
        <v>40</v>
      </c>
      <c r="C58" s="41"/>
      <c r="D58" s="41"/>
      <c r="E58" s="41"/>
    </row>
    <row r="59" spans="2:5">
      <c r="B59" s="42" t="s">
        <v>41</v>
      </c>
      <c r="C59" s="43"/>
      <c r="D59" s="43"/>
      <c r="E59" s="43"/>
    </row>
    <row r="61" spans="2:5">
      <c r="B61" s="16" t="s">
        <v>30</v>
      </c>
    </row>
    <row r="62" spans="2:5">
      <c r="B62" s="23" t="s">
        <v>42</v>
      </c>
      <c r="C62" s="24">
        <v>335195.99999999983</v>
      </c>
      <c r="D62" s="24">
        <v>382772.39999999909</v>
      </c>
      <c r="E62" s="24">
        <v>389217.60000000044</v>
      </c>
    </row>
    <row r="63" spans="2:5">
      <c r="B63" s="23" t="s">
        <v>43</v>
      </c>
      <c r="C63" s="24">
        <v>0</v>
      </c>
      <c r="D63" s="24">
        <v>0</v>
      </c>
      <c r="E63" s="24">
        <v>0</v>
      </c>
    </row>
    <row r="64" spans="2:5">
      <c r="B64" s="23" t="s">
        <v>44</v>
      </c>
      <c r="C64" s="24">
        <v>1510466.3976174281</v>
      </c>
      <c r="D64" s="24">
        <v>1401414.8757316081</v>
      </c>
      <c r="E64" s="24">
        <v>1713953.8166509639</v>
      </c>
    </row>
    <row r="65" spans="2:5">
      <c r="B65" s="31" t="s">
        <v>45</v>
      </c>
      <c r="C65" s="39">
        <v>1845662.3976174279</v>
      </c>
      <c r="D65" s="39">
        <v>1784187.2757316073</v>
      </c>
      <c r="E65" s="39">
        <v>2103171.4166509644</v>
      </c>
    </row>
    <row r="67" spans="2:5">
      <c r="B67" s="16" t="s">
        <v>35</v>
      </c>
    </row>
    <row r="68" spans="2:5">
      <c r="B68" s="23" t="s">
        <v>46</v>
      </c>
      <c r="C68" s="24">
        <v>412391.80980520119</v>
      </c>
      <c r="D68" s="24">
        <v>210825.85720099005</v>
      </c>
      <c r="E68" s="24">
        <v>1.5061232261359692E-9</v>
      </c>
    </row>
    <row r="69" spans="2:5">
      <c r="B69" s="23" t="s">
        <v>47</v>
      </c>
      <c r="C69" s="24">
        <v>111999.99999999994</v>
      </c>
      <c r="D69" s="24">
        <v>103999.99999999988</v>
      </c>
      <c r="E69" s="24">
        <v>95999.999999999825</v>
      </c>
    </row>
    <row r="70" spans="2:5">
      <c r="B70" s="31" t="s">
        <v>48</v>
      </c>
      <c r="C70" s="26">
        <v>524391.80980520113</v>
      </c>
      <c r="D70" s="26">
        <v>314825.85720098997</v>
      </c>
      <c r="E70" s="26">
        <v>96000.000000001339</v>
      </c>
    </row>
    <row r="71" spans="2:5" ht="14.5" thickBot="1">
      <c r="B71" s="15"/>
    </row>
    <row r="72" spans="2:5" ht="14.5" thickTop="1">
      <c r="B72" s="27" t="s">
        <v>49</v>
      </c>
      <c r="C72" s="35">
        <v>2370054.207422629</v>
      </c>
      <c r="D72" s="35">
        <v>2099013.1329325973</v>
      </c>
      <c r="E72" s="35">
        <v>2199171.4166509658</v>
      </c>
    </row>
    <row r="74" spans="2:5">
      <c r="B74" s="44" t="s">
        <v>50</v>
      </c>
      <c r="C74" s="44"/>
      <c r="D74" s="44"/>
      <c r="E74" s="44"/>
    </row>
    <row r="76" spans="2:5">
      <c r="B76" s="13" t="s">
        <v>51</v>
      </c>
      <c r="C76" s="17">
        <v>600000</v>
      </c>
      <c r="D76" s="17">
        <v>600000</v>
      </c>
      <c r="E76" s="17">
        <v>600000</v>
      </c>
    </row>
    <row r="77" spans="2:5" ht="14.5" thickBot="1">
      <c r="B77" s="13" t="s">
        <v>52</v>
      </c>
      <c r="C77" s="17">
        <v>3248187.8704697145</v>
      </c>
      <c r="D77" s="17">
        <v>5473030.1600628141</v>
      </c>
      <c r="E77" s="17">
        <v>8281280.3733333368</v>
      </c>
    </row>
    <row r="78" spans="2:5" ht="14.5" thickTop="1">
      <c r="B78" s="27" t="s">
        <v>53</v>
      </c>
      <c r="C78" s="28">
        <v>3848187.8704697145</v>
      </c>
      <c r="D78" s="28">
        <v>6073030.1600628141</v>
      </c>
      <c r="E78" s="28">
        <v>8881280.3733333368</v>
      </c>
    </row>
    <row r="79" spans="2:5" ht="14.5" thickBot="1">
      <c r="B79" s="13"/>
      <c r="C79" s="33"/>
      <c r="D79" s="33"/>
      <c r="E79" s="33"/>
    </row>
    <row r="80" spans="2:5" ht="14.5" thickTop="1">
      <c r="B80" s="27" t="s">
        <v>54</v>
      </c>
      <c r="C80" s="28">
        <v>6218242.0778923435</v>
      </c>
      <c r="D80" s="28">
        <v>8172043.2929954119</v>
      </c>
      <c r="E80" s="28">
        <v>11080451.789984303</v>
      </c>
    </row>
    <row r="82" spans="2:6" ht="15.5">
      <c r="B82" s="10" t="s">
        <v>105</v>
      </c>
      <c r="C82">
        <f ca="1">CashRatio(C46,C65)</f>
        <v>2.9502111746054376</v>
      </c>
      <c r="F82" t="s">
        <v>116</v>
      </c>
    </row>
    <row r="84" spans="2:6" ht="15.5">
      <c r="B84" s="10" t="s">
        <v>109</v>
      </c>
      <c r="C84" s="62"/>
      <c r="D84" s="62"/>
      <c r="E84" s="62"/>
    </row>
    <row r="85" spans="2:6">
      <c r="C85" s="15"/>
      <c r="D85" s="15"/>
      <c r="E85" s="15"/>
    </row>
    <row r="86" spans="2:6">
      <c r="C86" s="15"/>
      <c r="D86" s="15"/>
      <c r="E86" s="15"/>
    </row>
    <row r="87" spans="2:6">
      <c r="C87" s="15"/>
      <c r="D87" s="15"/>
      <c r="E87" s="1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6EEAA-A415-4B2F-ADAF-19C38C26F069}">
  <sheetPr codeName="Sheet4"/>
  <dimension ref="A1:M15"/>
  <sheetViews>
    <sheetView tabSelected="1" workbookViewId="0">
      <selection activeCell="D17" sqref="D17"/>
    </sheetView>
  </sheetViews>
  <sheetFormatPr defaultRowHeight="14"/>
  <cols>
    <col min="1" max="1" width="3" customWidth="1"/>
    <col min="2" max="2" width="42" customWidth="1"/>
    <col min="3" max="3" width="14.4140625" customWidth="1"/>
    <col min="4" max="4" width="15.33203125" customWidth="1"/>
    <col min="5" max="5" width="13.83203125" customWidth="1"/>
    <col min="6" max="6" width="30.33203125" customWidth="1"/>
    <col min="7" max="7" width="18" customWidth="1"/>
    <col min="8" max="8" width="12.1640625" customWidth="1"/>
    <col min="12" max="12" width="15.33203125" customWidth="1"/>
    <col min="13" max="13" width="14.75" style="15" customWidth="1"/>
  </cols>
  <sheetData>
    <row r="1" spans="1:13" s="71" customFormat="1">
      <c r="A1" s="68" t="s">
        <v>0</v>
      </c>
      <c r="B1" s="69"/>
      <c r="C1" s="69"/>
      <c r="D1" s="69"/>
      <c r="E1" s="69"/>
      <c r="F1" s="69"/>
      <c r="G1" s="69"/>
      <c r="H1" s="69"/>
      <c r="I1" s="69"/>
      <c r="J1" s="69"/>
      <c r="K1" s="69"/>
      <c r="L1" s="69"/>
      <c r="M1" s="70"/>
    </row>
    <row r="2" spans="1:13" s="71" customFormat="1" ht="18">
      <c r="A2" s="72" t="s">
        <v>104</v>
      </c>
      <c r="B2" s="73"/>
      <c r="C2" s="74"/>
      <c r="D2" s="73"/>
      <c r="E2" s="73"/>
      <c r="F2" s="73"/>
      <c r="G2" s="73"/>
      <c r="H2" s="73"/>
      <c r="I2" s="73"/>
      <c r="J2" s="73"/>
      <c r="K2" s="73"/>
      <c r="L2" s="73"/>
      <c r="M2" s="75"/>
    </row>
    <row r="4" spans="1:13" s="5" customFormat="1">
      <c r="B4" s="67" t="s">
        <v>113</v>
      </c>
      <c r="C4"/>
      <c r="D4"/>
      <c r="E4"/>
      <c r="F4"/>
      <c r="G4"/>
      <c r="H4"/>
      <c r="I4"/>
      <c r="J4"/>
      <c r="K4"/>
      <c r="L4"/>
      <c r="M4"/>
    </row>
    <row r="5" spans="1:13">
      <c r="M5"/>
    </row>
    <row r="6" spans="1:13">
      <c r="B6" t="s">
        <v>100</v>
      </c>
    </row>
    <row r="7" spans="1:13">
      <c r="B7" t="s">
        <v>99</v>
      </c>
    </row>
    <row r="9" spans="1:13">
      <c r="B9" t="s">
        <v>101</v>
      </c>
    </row>
    <row r="11" spans="1:13">
      <c r="B11" s="61" t="s">
        <v>102</v>
      </c>
      <c r="C11" s="1" t="s">
        <v>103</v>
      </c>
    </row>
    <row r="12" spans="1:13">
      <c r="B12" s="60">
        <v>2.5000000000000001E-2</v>
      </c>
      <c r="C12">
        <f ca="1">timetodouble(B12)</f>
        <v>28.8</v>
      </c>
    </row>
    <row r="13" spans="1:13">
      <c r="B13" s="60">
        <v>3.6999999999999998E-2</v>
      </c>
      <c r="C13">
        <f t="shared" ref="C13:C15" ca="1" si="0">timetodouble(B13)</f>
        <v>19.45945945945946</v>
      </c>
    </row>
    <row r="14" spans="1:13">
      <c r="B14" s="60">
        <v>4.9000000000000002E-2</v>
      </c>
      <c r="C14">
        <f t="shared" ca="1" si="0"/>
        <v>14.693877551020407</v>
      </c>
    </row>
    <row r="15" spans="1:13">
      <c r="B15" s="60">
        <v>1.05</v>
      </c>
      <c r="C15" t="str">
        <f t="shared" ca="1" si="0"/>
        <v>Rate must be 0-100%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556AF-C57B-4B72-ABDB-5EF04F781C23}">
  <sheetPr codeName="Sheet2"/>
  <dimension ref="A1:M34"/>
  <sheetViews>
    <sheetView topLeftCell="A7" workbookViewId="0">
      <selection activeCell="F14" sqref="F14"/>
    </sheetView>
  </sheetViews>
  <sheetFormatPr defaultRowHeight="14"/>
  <cols>
    <col min="1" max="1" width="20.1640625" customWidth="1"/>
    <col min="2" max="2" width="16.83203125" customWidth="1"/>
    <col min="3" max="3" width="13.9140625" customWidth="1"/>
    <col min="4" max="4" width="16.5" customWidth="1"/>
    <col min="5" max="5" width="15.9140625" customWidth="1"/>
  </cols>
  <sheetData>
    <row r="1" spans="1:13" s="71" customFormat="1">
      <c r="A1" s="68" t="s">
        <v>0</v>
      </c>
      <c r="B1" s="69"/>
      <c r="C1" s="69"/>
      <c r="D1" s="69"/>
      <c r="E1" s="69"/>
      <c r="F1" s="69"/>
      <c r="G1" s="69"/>
      <c r="H1" s="69"/>
      <c r="I1" s="69"/>
      <c r="J1" s="69"/>
      <c r="K1" s="69"/>
      <c r="L1" s="69"/>
      <c r="M1" s="70"/>
    </row>
    <row r="2" spans="1:13" s="71" customFormat="1" ht="18">
      <c r="A2" s="72" t="s">
        <v>108</v>
      </c>
      <c r="B2" s="73"/>
      <c r="C2" s="74"/>
      <c r="D2" s="73"/>
      <c r="E2" s="73"/>
      <c r="F2" s="73"/>
      <c r="G2" s="73"/>
      <c r="H2" s="73"/>
      <c r="I2" s="73"/>
      <c r="J2" s="73"/>
      <c r="K2" s="73"/>
      <c r="L2" s="73"/>
      <c r="M2" s="75"/>
    </row>
    <row r="3" spans="1:13">
      <c r="M3" s="15"/>
    </row>
    <row r="4" spans="1:13">
      <c r="A4" s="67" t="s">
        <v>117</v>
      </c>
    </row>
    <row r="5" spans="1:13">
      <c r="A5" t="s">
        <v>85</v>
      </c>
    </row>
    <row r="6" spans="1:13">
      <c r="A6" t="s">
        <v>86</v>
      </c>
    </row>
    <row r="7" spans="1:13">
      <c r="A7" s="46" t="s">
        <v>87</v>
      </c>
    </row>
    <row r="8" spans="1:13">
      <c r="A8" t="s">
        <v>88</v>
      </c>
    </row>
    <row r="10" spans="1:13">
      <c r="A10" s="1" t="s">
        <v>58</v>
      </c>
      <c r="B10" s="1" t="s">
        <v>61</v>
      </c>
      <c r="C10" s="1" t="s">
        <v>62</v>
      </c>
      <c r="D10" s="46" t="s">
        <v>89</v>
      </c>
    </row>
    <row r="11" spans="1:13">
      <c r="A11" t="s">
        <v>59</v>
      </c>
      <c r="B11" s="45">
        <v>44649</v>
      </c>
      <c r="C11">
        <v>40403</v>
      </c>
      <c r="D11" t="str">
        <f>MidNth(A11,3,"-")</f>
        <v>118222</v>
      </c>
    </row>
    <row r="12" spans="1:13">
      <c r="A12" t="s">
        <v>60</v>
      </c>
      <c r="B12" s="45">
        <v>44732</v>
      </c>
      <c r="C12">
        <v>15045</v>
      </c>
      <c r="D12" t="str">
        <f t="shared" ref="D12:D34" si="0">MidNth(A12,3,"-")</f>
        <v>118225</v>
      </c>
    </row>
    <row r="13" spans="1:13">
      <c r="A13" t="s">
        <v>71</v>
      </c>
      <c r="B13" s="45">
        <v>44847</v>
      </c>
      <c r="C13">
        <v>39461</v>
      </c>
      <c r="D13" t="str">
        <f t="shared" si="0"/>
        <v>11332</v>
      </c>
    </row>
    <row r="14" spans="1:13">
      <c r="A14" t="s">
        <v>75</v>
      </c>
      <c r="B14" s="45">
        <v>44595</v>
      </c>
      <c r="C14">
        <v>7252</v>
      </c>
      <c r="D14" t="str">
        <f t="shared" si="0"/>
        <v>1211</v>
      </c>
    </row>
    <row r="15" spans="1:13">
      <c r="A15" t="s">
        <v>72</v>
      </c>
      <c r="B15" s="45">
        <v>44775</v>
      </c>
      <c r="C15">
        <v>12192</v>
      </c>
      <c r="D15" t="str">
        <f t="shared" si="0"/>
        <v>2993821</v>
      </c>
    </row>
    <row r="16" spans="1:13">
      <c r="A16" t="s">
        <v>73</v>
      </c>
      <c r="B16" s="45">
        <v>44740</v>
      </c>
      <c r="C16">
        <v>27123</v>
      </c>
      <c r="D16" t="str">
        <f t="shared" si="0"/>
        <v>118223</v>
      </c>
    </row>
    <row r="17" spans="1:4">
      <c r="A17" t="s">
        <v>74</v>
      </c>
      <c r="B17" s="45">
        <v>44658</v>
      </c>
      <c r="C17">
        <v>37364</v>
      </c>
      <c r="D17" t="str">
        <f t="shared" si="0"/>
        <v>118222</v>
      </c>
    </row>
    <row r="18" spans="1:4">
      <c r="A18" t="s">
        <v>67</v>
      </c>
      <c r="B18" s="45">
        <v>44821</v>
      </c>
      <c r="C18">
        <v>35968</v>
      </c>
      <c r="D18" t="str">
        <f t="shared" si="0"/>
        <v>118225</v>
      </c>
    </row>
    <row r="19" spans="1:4">
      <c r="A19" t="s">
        <v>63</v>
      </c>
      <c r="B19" s="45">
        <v>44792</v>
      </c>
      <c r="C19">
        <v>3294</v>
      </c>
      <c r="D19" t="str">
        <f t="shared" si="0"/>
        <v>118222</v>
      </c>
    </row>
    <row r="20" spans="1:4">
      <c r="A20" t="s">
        <v>70</v>
      </c>
      <c r="B20" s="45">
        <v>44635</v>
      </c>
      <c r="C20">
        <v>17308</v>
      </c>
      <c r="D20" t="str">
        <f t="shared" si="0"/>
        <v>118222</v>
      </c>
    </row>
    <row r="21" spans="1:4">
      <c r="A21" t="s">
        <v>64</v>
      </c>
      <c r="B21" s="45">
        <v>44569</v>
      </c>
      <c r="C21">
        <v>46497</v>
      </c>
      <c r="D21" t="str">
        <f t="shared" si="0"/>
        <v>118225</v>
      </c>
    </row>
    <row r="22" spans="1:4">
      <c r="A22" t="s">
        <v>76</v>
      </c>
      <c r="B22" s="45">
        <v>44683</v>
      </c>
      <c r="C22">
        <v>8154</v>
      </c>
      <c r="D22" t="str">
        <f t="shared" si="0"/>
        <v>11332</v>
      </c>
    </row>
    <row r="23" spans="1:4">
      <c r="A23" t="s">
        <v>77</v>
      </c>
      <c r="B23" s="45">
        <v>44787</v>
      </c>
      <c r="C23">
        <v>23144</v>
      </c>
      <c r="D23" t="str">
        <f t="shared" si="0"/>
        <v>1211</v>
      </c>
    </row>
    <row r="24" spans="1:4">
      <c r="A24" t="s">
        <v>78</v>
      </c>
      <c r="B24" s="45">
        <v>44855</v>
      </c>
      <c r="C24">
        <v>47890</v>
      </c>
      <c r="D24" t="str">
        <f t="shared" si="0"/>
        <v>2993821</v>
      </c>
    </row>
    <row r="25" spans="1:4">
      <c r="A25" t="s">
        <v>79</v>
      </c>
      <c r="B25" s="45">
        <v>44764</v>
      </c>
      <c r="C25">
        <v>23722</v>
      </c>
      <c r="D25" t="str">
        <f t="shared" si="0"/>
        <v>118222</v>
      </c>
    </row>
    <row r="26" spans="1:4">
      <c r="A26" t="s">
        <v>68</v>
      </c>
      <c r="B26" s="45">
        <v>44790</v>
      </c>
      <c r="C26">
        <v>3153</v>
      </c>
      <c r="D26" t="str">
        <f t="shared" si="0"/>
        <v>118225</v>
      </c>
    </row>
    <row r="27" spans="1:4">
      <c r="A27" t="s">
        <v>65</v>
      </c>
      <c r="B27" s="45">
        <v>44824</v>
      </c>
      <c r="C27">
        <v>7275</v>
      </c>
      <c r="D27" t="str">
        <f t="shared" si="0"/>
        <v>118222</v>
      </c>
    </row>
    <row r="28" spans="1:4">
      <c r="A28" t="s">
        <v>66</v>
      </c>
      <c r="B28" s="45">
        <v>44826</v>
      </c>
      <c r="C28">
        <v>31693</v>
      </c>
      <c r="D28" t="str">
        <f t="shared" si="0"/>
        <v>118225</v>
      </c>
    </row>
    <row r="29" spans="1:4">
      <c r="A29" t="s">
        <v>80</v>
      </c>
      <c r="B29" s="45">
        <v>44641</v>
      </c>
      <c r="C29">
        <v>11566</v>
      </c>
      <c r="D29" t="str">
        <f t="shared" si="0"/>
        <v>11332</v>
      </c>
    </row>
    <row r="30" spans="1:4">
      <c r="A30" t="s">
        <v>81</v>
      </c>
      <c r="B30" s="45">
        <v>44704</v>
      </c>
      <c r="C30">
        <v>29950</v>
      </c>
      <c r="D30" t="str">
        <f t="shared" si="0"/>
        <v>1211</v>
      </c>
    </row>
    <row r="31" spans="1:4">
      <c r="A31" t="s">
        <v>82</v>
      </c>
      <c r="B31" s="45">
        <v>44838</v>
      </c>
      <c r="C31">
        <v>9121</v>
      </c>
      <c r="D31" t="str">
        <f t="shared" si="0"/>
        <v>2993821</v>
      </c>
    </row>
    <row r="32" spans="1:4">
      <c r="A32" t="s">
        <v>83</v>
      </c>
      <c r="B32" s="45">
        <v>44624</v>
      </c>
      <c r="C32">
        <v>39660</v>
      </c>
      <c r="D32" t="str">
        <f t="shared" si="0"/>
        <v>118223</v>
      </c>
    </row>
    <row r="33" spans="1:4">
      <c r="A33" t="s">
        <v>84</v>
      </c>
      <c r="B33" s="45">
        <v>44653</v>
      </c>
      <c r="C33">
        <v>33294</v>
      </c>
      <c r="D33" t="str">
        <f t="shared" si="0"/>
        <v>118222</v>
      </c>
    </row>
    <row r="34" spans="1:4">
      <c r="A34" t="s">
        <v>69</v>
      </c>
      <c r="B34" s="45">
        <v>44806</v>
      </c>
      <c r="C34">
        <v>43112</v>
      </c>
      <c r="D34" t="str">
        <f t="shared" si="0"/>
        <v>118225</v>
      </c>
    </row>
  </sheetData>
  <phoneticPr fontId="1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BDB6E-083A-470B-9F1F-2DC62905EEDC}">
  <sheetPr codeName="Sheet5"/>
  <dimension ref="A1:M107"/>
  <sheetViews>
    <sheetView workbookViewId="0">
      <selection activeCell="C9" sqref="C9"/>
    </sheetView>
  </sheetViews>
  <sheetFormatPr defaultColWidth="8.75" defaultRowHeight="14"/>
  <cols>
    <col min="1" max="1" width="15.1640625" style="63" customWidth="1"/>
    <col min="2" max="2" width="8.75" style="63"/>
    <col min="3" max="3" width="22.6640625" style="63" customWidth="1"/>
    <col min="4" max="4" width="13.4140625" style="63" customWidth="1"/>
    <col min="5" max="16384" width="8.75" style="63"/>
  </cols>
  <sheetData>
    <row r="1" spans="1:13" s="71" customFormat="1">
      <c r="A1" s="69" t="s">
        <v>0</v>
      </c>
      <c r="B1" s="69"/>
      <c r="C1" s="69"/>
      <c r="D1" s="69"/>
      <c r="E1" s="69"/>
      <c r="F1" s="69"/>
      <c r="G1" s="69"/>
      <c r="H1" s="69"/>
      <c r="I1" s="69"/>
      <c r="J1" s="69"/>
      <c r="K1" s="69"/>
      <c r="L1" s="69"/>
      <c r="M1" s="70"/>
    </row>
    <row r="2" spans="1:13" s="78" customFormat="1" ht="18">
      <c r="A2" s="72" t="s">
        <v>106</v>
      </c>
      <c r="B2" s="72"/>
      <c r="C2" s="76"/>
      <c r="D2" s="72"/>
      <c r="E2" s="72"/>
      <c r="F2" s="72"/>
      <c r="G2" s="72"/>
      <c r="H2" s="72"/>
      <c r="I2" s="72"/>
      <c r="J2" s="72"/>
      <c r="K2" s="72"/>
      <c r="L2" s="72"/>
      <c r="M2" s="77"/>
    </row>
    <row r="3" spans="1:13">
      <c r="M3" s="64"/>
    </row>
    <row r="4" spans="1:13">
      <c r="A4" s="67" t="s">
        <v>114</v>
      </c>
      <c r="M4" s="64"/>
    </row>
    <row r="5" spans="1:13">
      <c r="A5" t="s">
        <v>111</v>
      </c>
      <c r="M5" s="64"/>
    </row>
    <row r="6" spans="1:13">
      <c r="A6" t="s">
        <v>110</v>
      </c>
      <c r="M6" s="64"/>
    </row>
    <row r="7" spans="1:13">
      <c r="M7" s="64"/>
    </row>
    <row r="8" spans="1:13">
      <c r="A8" s="65" t="s">
        <v>107</v>
      </c>
    </row>
    <row r="9" spans="1:13">
      <c r="A9" s="63">
        <f ca="1">ROUND(RAND()*100,2)</f>
        <v>94.65</v>
      </c>
      <c r="C9" s="66">
        <f>StatsSummary(A9:A105,4)</f>
        <v>0</v>
      </c>
    </row>
    <row r="10" spans="1:13">
      <c r="A10" s="63">
        <f t="shared" ref="A10:A73" ca="1" si="0">ROUND(RAND()*100,2)</f>
        <v>13.64</v>
      </c>
      <c r="C10" s="63" t="s">
        <v>121</v>
      </c>
    </row>
    <row r="11" spans="1:13">
      <c r="A11" s="63">
        <f t="shared" ca="1" si="0"/>
        <v>18.59</v>
      </c>
      <c r="C11" s="63" t="s">
        <v>122</v>
      </c>
    </row>
    <row r="12" spans="1:13">
      <c r="A12" s="63">
        <f t="shared" ca="1" si="0"/>
        <v>17.329999999999998</v>
      </c>
      <c r="C12" s="63" t="s">
        <v>118</v>
      </c>
    </row>
    <row r="13" spans="1:13">
      <c r="A13" s="63">
        <f t="shared" ca="1" si="0"/>
        <v>63.9</v>
      </c>
      <c r="C13" s="63" t="s">
        <v>123</v>
      </c>
    </row>
    <row r="14" spans="1:13">
      <c r="A14" s="63">
        <f t="shared" ca="1" si="0"/>
        <v>0.59</v>
      </c>
      <c r="C14" s="63" t="s">
        <v>124</v>
      </c>
    </row>
    <row r="15" spans="1:13">
      <c r="A15" s="63">
        <f t="shared" ca="1" si="0"/>
        <v>16.96</v>
      </c>
    </row>
    <row r="16" spans="1:13">
      <c r="A16" s="63">
        <f t="shared" ca="1" si="0"/>
        <v>16.73</v>
      </c>
      <c r="C16" s="63" t="s">
        <v>119</v>
      </c>
    </row>
    <row r="17" spans="1:3">
      <c r="A17" s="63">
        <f t="shared" ca="1" si="0"/>
        <v>65.819999999999993</v>
      </c>
      <c r="C17" s="63" t="s">
        <v>125</v>
      </c>
    </row>
    <row r="18" spans="1:3">
      <c r="A18" s="63">
        <f t="shared" ca="1" si="0"/>
        <v>27.77</v>
      </c>
      <c r="C18" s="63" t="s">
        <v>126</v>
      </c>
    </row>
    <row r="19" spans="1:3">
      <c r="A19" s="63">
        <f t="shared" ca="1" si="0"/>
        <v>72.86</v>
      </c>
      <c r="C19" s="63" t="s">
        <v>127</v>
      </c>
    </row>
    <row r="20" spans="1:3">
      <c r="A20" s="63">
        <f t="shared" ca="1" si="0"/>
        <v>51.21</v>
      </c>
      <c r="C20" s="63" t="s">
        <v>128</v>
      </c>
    </row>
    <row r="21" spans="1:3">
      <c r="A21" s="63">
        <f t="shared" ca="1" si="0"/>
        <v>86.51</v>
      </c>
    </row>
    <row r="22" spans="1:3">
      <c r="A22" s="63">
        <f t="shared" ca="1" si="0"/>
        <v>72.95</v>
      </c>
      <c r="C22" s="63" t="s">
        <v>120</v>
      </c>
    </row>
    <row r="23" spans="1:3">
      <c r="A23" s="63">
        <f t="shared" ca="1" si="0"/>
        <v>27.27</v>
      </c>
      <c r="C23" s="63" t="s">
        <v>129</v>
      </c>
    </row>
    <row r="24" spans="1:3">
      <c r="A24" s="63">
        <f t="shared" ca="1" si="0"/>
        <v>34.119999999999997</v>
      </c>
      <c r="C24" s="63" t="s">
        <v>130</v>
      </c>
    </row>
    <row r="25" spans="1:3">
      <c r="A25" s="63">
        <f t="shared" ca="1" si="0"/>
        <v>66.37</v>
      </c>
      <c r="C25" s="63" t="s">
        <v>131</v>
      </c>
    </row>
    <row r="26" spans="1:3">
      <c r="A26" s="63">
        <f t="shared" ca="1" si="0"/>
        <v>26.13</v>
      </c>
      <c r="C26" s="63" t="s">
        <v>132</v>
      </c>
    </row>
    <row r="27" spans="1:3">
      <c r="A27" s="63">
        <f t="shared" ca="1" si="0"/>
        <v>75.81</v>
      </c>
    </row>
    <row r="28" spans="1:3">
      <c r="A28" s="63">
        <f t="shared" ca="1" si="0"/>
        <v>2.2599999999999998</v>
      </c>
    </row>
    <row r="29" spans="1:3">
      <c r="A29" s="63">
        <f t="shared" ca="1" si="0"/>
        <v>79.069999999999993</v>
      </c>
    </row>
    <row r="30" spans="1:3">
      <c r="A30" s="63">
        <f t="shared" ca="1" si="0"/>
        <v>87.57</v>
      </c>
    </row>
    <row r="31" spans="1:3">
      <c r="A31" s="63">
        <f t="shared" ca="1" si="0"/>
        <v>8.84</v>
      </c>
    </row>
    <row r="32" spans="1:3">
      <c r="A32" s="63">
        <f t="shared" ca="1" si="0"/>
        <v>59.01</v>
      </c>
    </row>
    <row r="33" spans="1:1">
      <c r="A33" s="63">
        <f t="shared" ca="1" si="0"/>
        <v>11.46</v>
      </c>
    </row>
    <row r="34" spans="1:1">
      <c r="A34" s="63">
        <f t="shared" ca="1" si="0"/>
        <v>11.49</v>
      </c>
    </row>
    <row r="35" spans="1:1">
      <c r="A35" s="63">
        <f t="shared" ca="1" si="0"/>
        <v>60.3</v>
      </c>
    </row>
    <row r="36" spans="1:1">
      <c r="A36" s="63">
        <f t="shared" ca="1" si="0"/>
        <v>29.03</v>
      </c>
    </row>
    <row r="37" spans="1:1">
      <c r="A37" s="63">
        <f t="shared" ca="1" si="0"/>
        <v>55.4</v>
      </c>
    </row>
    <row r="38" spans="1:1">
      <c r="A38" s="63">
        <f t="shared" ca="1" si="0"/>
        <v>23.03</v>
      </c>
    </row>
    <row r="39" spans="1:1">
      <c r="A39" s="63">
        <f t="shared" ca="1" si="0"/>
        <v>94.73</v>
      </c>
    </row>
    <row r="40" spans="1:1">
      <c r="A40" s="63">
        <f t="shared" ca="1" si="0"/>
        <v>15.74</v>
      </c>
    </row>
    <row r="41" spans="1:1">
      <c r="A41" s="63">
        <f t="shared" ca="1" si="0"/>
        <v>1.01</v>
      </c>
    </row>
    <row r="42" spans="1:1">
      <c r="A42" s="63">
        <f t="shared" ca="1" si="0"/>
        <v>11.27</v>
      </c>
    </row>
    <row r="43" spans="1:1">
      <c r="A43" s="63">
        <f t="shared" ca="1" si="0"/>
        <v>58.51</v>
      </c>
    </row>
    <row r="44" spans="1:1">
      <c r="A44" s="63">
        <f t="shared" ca="1" si="0"/>
        <v>75.19</v>
      </c>
    </row>
    <row r="45" spans="1:1">
      <c r="A45" s="63">
        <f t="shared" ca="1" si="0"/>
        <v>98.12</v>
      </c>
    </row>
    <row r="46" spans="1:1">
      <c r="A46" s="63">
        <f t="shared" ca="1" si="0"/>
        <v>53.72</v>
      </c>
    </row>
    <row r="47" spans="1:1">
      <c r="A47" s="63">
        <f t="shared" ca="1" si="0"/>
        <v>56.4</v>
      </c>
    </row>
    <row r="48" spans="1:1">
      <c r="A48" s="63">
        <f t="shared" ca="1" si="0"/>
        <v>62.17</v>
      </c>
    </row>
    <row r="49" spans="1:1">
      <c r="A49" s="63">
        <f t="shared" ca="1" si="0"/>
        <v>56.38</v>
      </c>
    </row>
    <row r="50" spans="1:1">
      <c r="A50" s="63">
        <f t="shared" ca="1" si="0"/>
        <v>13.58</v>
      </c>
    </row>
    <row r="51" spans="1:1">
      <c r="A51" s="63">
        <f t="shared" ca="1" si="0"/>
        <v>78.59</v>
      </c>
    </row>
    <row r="52" spans="1:1">
      <c r="A52" s="63">
        <f t="shared" ca="1" si="0"/>
        <v>3.6</v>
      </c>
    </row>
    <row r="53" spans="1:1">
      <c r="A53" s="63">
        <f t="shared" ca="1" si="0"/>
        <v>53.12</v>
      </c>
    </row>
    <row r="54" spans="1:1">
      <c r="A54" s="63">
        <f t="shared" ca="1" si="0"/>
        <v>11.8</v>
      </c>
    </row>
    <row r="55" spans="1:1">
      <c r="A55" s="63">
        <f t="shared" ca="1" si="0"/>
        <v>3.38</v>
      </c>
    </row>
    <row r="56" spans="1:1">
      <c r="A56" s="63">
        <f t="shared" ca="1" si="0"/>
        <v>57.61</v>
      </c>
    </row>
    <row r="57" spans="1:1">
      <c r="A57" s="63">
        <f t="shared" ca="1" si="0"/>
        <v>47.83</v>
      </c>
    </row>
    <row r="58" spans="1:1">
      <c r="A58" s="63">
        <f t="shared" ca="1" si="0"/>
        <v>52.76</v>
      </c>
    </row>
    <row r="59" spans="1:1">
      <c r="A59" s="63">
        <f t="shared" ca="1" si="0"/>
        <v>62.48</v>
      </c>
    </row>
    <row r="60" spans="1:1">
      <c r="A60" s="63">
        <f t="shared" ca="1" si="0"/>
        <v>5.28</v>
      </c>
    </row>
    <row r="61" spans="1:1">
      <c r="A61" s="63">
        <f t="shared" ca="1" si="0"/>
        <v>60.36</v>
      </c>
    </row>
    <row r="62" spans="1:1">
      <c r="A62" s="63">
        <f t="shared" ca="1" si="0"/>
        <v>70.06</v>
      </c>
    </row>
    <row r="63" spans="1:1">
      <c r="A63" s="63">
        <f t="shared" ca="1" si="0"/>
        <v>34.229999999999997</v>
      </c>
    </row>
    <row r="64" spans="1:1">
      <c r="A64" s="63">
        <f t="shared" ca="1" si="0"/>
        <v>37.57</v>
      </c>
    </row>
    <row r="65" spans="1:1">
      <c r="A65" s="63">
        <f t="shared" ca="1" si="0"/>
        <v>12.01</v>
      </c>
    </row>
    <row r="66" spans="1:1">
      <c r="A66" s="63">
        <f t="shared" ca="1" si="0"/>
        <v>41.23</v>
      </c>
    </row>
    <row r="67" spans="1:1">
      <c r="A67" s="63">
        <f t="shared" ca="1" si="0"/>
        <v>8.94</v>
      </c>
    </row>
    <row r="68" spans="1:1">
      <c r="A68" s="63">
        <f t="shared" ca="1" si="0"/>
        <v>11.85</v>
      </c>
    </row>
    <row r="69" spans="1:1">
      <c r="A69" s="63">
        <f t="shared" ca="1" si="0"/>
        <v>32.409999999999997</v>
      </c>
    </row>
    <row r="70" spans="1:1">
      <c r="A70" s="63">
        <f t="shared" ca="1" si="0"/>
        <v>64.94</v>
      </c>
    </row>
    <row r="71" spans="1:1">
      <c r="A71" s="63">
        <f t="shared" ca="1" si="0"/>
        <v>52.14</v>
      </c>
    </row>
    <row r="72" spans="1:1">
      <c r="A72" s="63">
        <f t="shared" ca="1" si="0"/>
        <v>8.44</v>
      </c>
    </row>
    <row r="73" spans="1:1">
      <c r="A73" s="63">
        <f t="shared" ca="1" si="0"/>
        <v>24.45</v>
      </c>
    </row>
    <row r="74" spans="1:1">
      <c r="A74" s="63">
        <f t="shared" ref="A74:A107" ca="1" si="1">ROUND(RAND()*100,2)</f>
        <v>28.75</v>
      </c>
    </row>
    <row r="75" spans="1:1">
      <c r="A75" s="63">
        <f t="shared" ca="1" si="1"/>
        <v>14.76</v>
      </c>
    </row>
    <row r="76" spans="1:1">
      <c r="A76" s="63">
        <f t="shared" ca="1" si="1"/>
        <v>79.41</v>
      </c>
    </row>
    <row r="77" spans="1:1">
      <c r="A77" s="63">
        <f t="shared" ca="1" si="1"/>
        <v>57.56</v>
      </c>
    </row>
    <row r="78" spans="1:1">
      <c r="A78" s="63">
        <f t="shared" ca="1" si="1"/>
        <v>14.61</v>
      </c>
    </row>
    <row r="79" spans="1:1">
      <c r="A79" s="63">
        <f t="shared" ca="1" si="1"/>
        <v>4.04</v>
      </c>
    </row>
    <row r="80" spans="1:1">
      <c r="A80" s="63">
        <f t="shared" ca="1" si="1"/>
        <v>59.87</v>
      </c>
    </row>
    <row r="81" spans="1:1">
      <c r="A81" s="63">
        <f t="shared" ca="1" si="1"/>
        <v>91.27</v>
      </c>
    </row>
    <row r="82" spans="1:1">
      <c r="A82" s="63">
        <f t="shared" ca="1" si="1"/>
        <v>69.44</v>
      </c>
    </row>
    <row r="83" spans="1:1">
      <c r="A83" s="63">
        <f t="shared" ca="1" si="1"/>
        <v>6.59</v>
      </c>
    </row>
    <row r="84" spans="1:1">
      <c r="A84" s="63">
        <f t="shared" ca="1" si="1"/>
        <v>38.200000000000003</v>
      </c>
    </row>
    <row r="85" spans="1:1">
      <c r="A85" s="63">
        <f t="shared" ca="1" si="1"/>
        <v>90.29</v>
      </c>
    </row>
    <row r="86" spans="1:1">
      <c r="A86" s="63">
        <f t="shared" ca="1" si="1"/>
        <v>85.97</v>
      </c>
    </row>
    <row r="87" spans="1:1">
      <c r="A87" s="63">
        <f t="shared" ca="1" si="1"/>
        <v>17.09</v>
      </c>
    </row>
    <row r="88" spans="1:1">
      <c r="A88" s="63">
        <f t="shared" ca="1" si="1"/>
        <v>32.26</v>
      </c>
    </row>
    <row r="89" spans="1:1">
      <c r="A89" s="63">
        <f t="shared" ca="1" si="1"/>
        <v>98.86</v>
      </c>
    </row>
    <row r="90" spans="1:1">
      <c r="A90" s="63">
        <f t="shared" ca="1" si="1"/>
        <v>93.94</v>
      </c>
    </row>
    <row r="91" spans="1:1">
      <c r="A91" s="63">
        <f t="shared" ca="1" si="1"/>
        <v>17.82</v>
      </c>
    </row>
    <row r="92" spans="1:1">
      <c r="A92" s="63">
        <f t="shared" ca="1" si="1"/>
        <v>92.64</v>
      </c>
    </row>
    <row r="93" spans="1:1">
      <c r="A93" s="63">
        <f t="shared" ca="1" si="1"/>
        <v>80.83</v>
      </c>
    </row>
    <row r="94" spans="1:1">
      <c r="A94" s="63">
        <f t="shared" ca="1" si="1"/>
        <v>30.76</v>
      </c>
    </row>
    <row r="95" spans="1:1">
      <c r="A95" s="63">
        <f t="shared" ca="1" si="1"/>
        <v>82.31</v>
      </c>
    </row>
    <row r="96" spans="1:1">
      <c r="A96" s="63">
        <f t="shared" ca="1" si="1"/>
        <v>2.1</v>
      </c>
    </row>
    <row r="97" spans="1:1">
      <c r="A97" s="63">
        <f t="shared" ca="1" si="1"/>
        <v>54.2</v>
      </c>
    </row>
    <row r="98" spans="1:1">
      <c r="A98" s="63">
        <f t="shared" ca="1" si="1"/>
        <v>21.06</v>
      </c>
    </row>
    <row r="99" spans="1:1">
      <c r="A99" s="63">
        <f t="shared" ca="1" si="1"/>
        <v>33.04</v>
      </c>
    </row>
    <row r="100" spans="1:1">
      <c r="A100" s="63">
        <f t="shared" ca="1" si="1"/>
        <v>9.51</v>
      </c>
    </row>
    <row r="101" spans="1:1">
      <c r="A101" s="63">
        <f t="shared" ca="1" si="1"/>
        <v>13.72</v>
      </c>
    </row>
    <row r="102" spans="1:1">
      <c r="A102" s="63">
        <f t="shared" ca="1" si="1"/>
        <v>73.87</v>
      </c>
    </row>
    <row r="103" spans="1:1">
      <c r="A103" s="63">
        <f t="shared" ca="1" si="1"/>
        <v>83.58</v>
      </c>
    </row>
    <row r="104" spans="1:1">
      <c r="A104" s="63">
        <f t="shared" ca="1" si="1"/>
        <v>76.64</v>
      </c>
    </row>
    <row r="105" spans="1:1">
      <c r="A105" s="63">
        <f t="shared" ca="1" si="1"/>
        <v>96.93</v>
      </c>
    </row>
    <row r="106" spans="1:1">
      <c r="A106" s="63">
        <f t="shared" ca="1" si="1"/>
        <v>54.36</v>
      </c>
    </row>
    <row r="107" spans="1:1">
      <c r="A107" s="63">
        <f t="shared" ca="1" si="1"/>
        <v>68.91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Header</vt:lpstr>
      <vt:lpstr>PerformingCalculations</vt:lpstr>
      <vt:lpstr>Rule of 72</vt:lpstr>
      <vt:lpstr>ExtractingText</vt:lpstr>
      <vt:lpstr>SummaryStats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Taylor</dc:creator>
  <cp:lastModifiedBy>Biting Xu (A)</cp:lastModifiedBy>
  <dcterms:created xsi:type="dcterms:W3CDTF">2021-04-24T04:35:40Z</dcterms:created>
  <dcterms:modified xsi:type="dcterms:W3CDTF">2023-09-15T12:11:46Z</dcterms:modified>
</cp:coreProperties>
</file>